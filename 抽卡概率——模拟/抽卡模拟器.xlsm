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Doc\设计文档\系统设计\数值文档\"/>
    </mc:Choice>
  </mc:AlternateContent>
  <xr:revisionPtr revIDLastSave="0" documentId="13_ncr:1_{CC18DCCB-DDD5-48B7-BD31-08755E4B02B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抽卡规则" sheetId="5" r:id="rId1"/>
    <sheet name="卡池召唤" sheetId="3" r:id="rId2"/>
    <sheet name="命运转轮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F3" i="3" a="1"/>
  <c r="F3" i="3" l="1"/>
  <c r="O5" i="3" l="1" a="1"/>
  <c r="O5" i="3" s="1"/>
  <c r="H2" i="3"/>
  <c r="E2" i="4"/>
  <c r="E3" i="4"/>
  <c r="E4" i="4"/>
  <c r="E5" i="4"/>
  <c r="E6" i="4"/>
  <c r="E7" i="4"/>
  <c r="E8" i="4"/>
  <c r="E9" i="4"/>
  <c r="E10" i="4"/>
  <c r="M2" i="4"/>
  <c r="M5" i="4" a="1"/>
  <c r="M5" i="4" s="1"/>
  <c r="M4" i="4"/>
  <c r="O4" i="3"/>
  <c r="H5" i="3"/>
  <c r="H6" i="3"/>
  <c r="H4" i="3"/>
  <c r="F6" i="3" a="1"/>
  <c r="F4" i="3" a="1"/>
  <c r="F5" i="3" a="1"/>
  <c r="F2" i="3" a="1"/>
  <c r="F6" i="3" l="1"/>
  <c r="F2" i="3"/>
  <c r="F4" i="3"/>
  <c r="F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1" authorId="0" shapeId="0" xr:uid="{47AA07A9-F761-46D1-AD02-A5AC0FBA251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必须从1开始顺序向下填，同时意味着道具优先级从高到低</t>
        </r>
      </text>
    </comment>
    <comment ref="B1" authorId="0" shapeId="0" xr:uid="{000102E4-116C-4A38-B1B3-B079072CE6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可选，用于统计数据显示名称</t>
        </r>
      </text>
    </comment>
    <comment ref="C1" authorId="0" shapeId="0" xr:uid="{D2519C3E-5948-4763-A6C2-4B4EC0251EC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正整数，不触发保底机制时的权重</t>
        </r>
      </text>
    </comment>
    <comment ref="D1" authorId="0" shapeId="0" xr:uid="{184261BB-E25E-4F2E-A7DF-DF405A9F0E5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非负整数，当连续x发没出货时，下一发概率自增</t>
        </r>
      </text>
    </comment>
    <comment ref="E1" authorId="0" shapeId="0" xr:uid="{6081E83C-1267-4022-AA3C-DF68A4EDAC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0-1的小数，每次概率自增的值，绝对概率</t>
        </r>
      </text>
    </comment>
    <comment ref="F1" authorId="0" shapeId="0" xr:uid="{734B2C32-AD33-46CE-A1DA-92D2F25D947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在解耦情况下单独预期出货率，即仅考虑这一种道具会概率自增。
不参与模拟计算，仅用于辅助查看</t>
        </r>
      </text>
    </comment>
    <comment ref="G1" authorId="0" shapeId="0" xr:uid="{EACE12EF-90A9-40D2-8EF1-10B33664947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根据动态指标次数和期望保底数生成期望动态系数。
不参与模拟计算，仅用于辅助。</t>
        </r>
      </text>
    </comment>
    <comment ref="H1" authorId="0" shapeId="0" xr:uid="{CDF51F3C-508B-4327-B297-39E1ABD2561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根据动态指标次数和期望保底数生成期望动态系数。
不参与模拟计算，仅用于辅助。</t>
        </r>
      </text>
    </comment>
    <comment ref="B18" authorId="0" shapeId="0" xr:uid="{12A00186-AC26-4F23-92A1-F2FBA3FFB1FF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共进行多少轮模拟，第一次建议10000以内测试运行速度</t>
        </r>
      </text>
    </comment>
    <comment ref="B19" authorId="0" shapeId="0" xr:uid="{0B7BF0FB-82E2-45FB-BE7E-95728B9B439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控制台输出，打开后会影响性能</t>
        </r>
      </text>
    </comment>
    <comment ref="B20" authorId="0" shapeId="0" xr:uid="{89E472B3-F528-42B4-ADF0-0A34C7F5DF54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希望额外统计哪个奖品的抽卡情况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4CCB7CBB-A540-48A7-AB10-AC3A0ACF157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该道具在一轮奖池中总共有多少个。</t>
        </r>
      </text>
    </comment>
    <comment ref="C1" authorId="0" shapeId="0" xr:uid="{EB1CADA4-F3DD-40AD-AB80-49FC251C956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该道具在奖池中的初始权重</t>
        </r>
      </text>
    </comment>
    <comment ref="D1" authorId="0" shapeId="0" xr:uid="{E43AA47C-6FEF-4A38-809D-99FE8C9CBB3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在第a发后，该道具权重更改为b
内置了格式检测，但还是尽量保持正确格式</t>
        </r>
      </text>
    </comment>
    <comment ref="E1" authorId="0" shapeId="0" xr:uid="{A749030D-3F1A-4C1B-B4A3-46D124B295E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该道具基础概率
不参与模拟计算，仅用于辅助查看</t>
        </r>
      </text>
    </comment>
    <comment ref="B23" authorId="0" shapeId="0" xr:uid="{088BF2E8-8EA1-4C32-8A18-72F60E32E44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共进行多少轮模拟，第一次建议100以内测试运行速度</t>
        </r>
      </text>
    </comment>
    <comment ref="B24" authorId="0" shapeId="0" xr:uid="{0F4CB002-A9E8-4973-A9B7-937DAA17959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希望查看那个奖品的统计数据</t>
        </r>
      </text>
    </comment>
    <comment ref="B25" authorId="0" shapeId="0" xr:uid="{9627C794-690A-4E15-8DAB-67DC92EA649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控制台输出，打开后会影响性能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<sst xmlns="http://schemas.openxmlformats.org/spreadsheetml/2006/main" count="51" uniqueCount="42">
  <si>
    <t>奖品id</t>
  </si>
  <si>
    <t>道具数量</t>
  </si>
  <si>
    <t>概率权重</t>
  </si>
  <si>
    <t>模拟次数</t>
    <phoneticPr fontId="1" type="noConversion"/>
  </si>
  <si>
    <t>中位数</t>
    <phoneticPr fontId="1" type="noConversion"/>
  </si>
  <si>
    <t>概率密度</t>
    <phoneticPr fontId="1" type="noConversion"/>
  </si>
  <si>
    <t>概率分布</t>
    <phoneticPr fontId="1" type="noConversion"/>
  </si>
  <si>
    <t>奖品id</t>
    <phoneticPr fontId="1" type="noConversion"/>
  </si>
  <si>
    <t>名称</t>
    <phoneticPr fontId="1" type="noConversion"/>
  </si>
  <si>
    <t>参数</t>
    <phoneticPr fontId="1" type="noConversion"/>
  </si>
  <si>
    <t>配置项</t>
    <phoneticPr fontId="1" type="noConversion"/>
  </si>
  <si>
    <t>初始权重</t>
    <phoneticPr fontId="1" type="noConversion"/>
  </si>
  <si>
    <t>低橙</t>
    <phoneticPr fontId="1" type="noConversion"/>
  </si>
  <si>
    <t>紫</t>
    <phoneticPr fontId="1" type="noConversion"/>
  </si>
  <si>
    <t>蓝白</t>
    <phoneticPr fontId="1" type="noConversion"/>
  </si>
  <si>
    <t>动态指标次数</t>
    <phoneticPr fontId="1" type="noConversion"/>
  </si>
  <si>
    <t>动态系数</t>
    <phoneticPr fontId="1" type="noConversion"/>
  </si>
  <si>
    <t>debug</t>
    <phoneticPr fontId="1" type="noConversion"/>
  </si>
  <si>
    <t>模拟进度</t>
    <phoneticPr fontId="1" type="noConversion"/>
  </si>
  <si>
    <t>有效数据</t>
    <phoneticPr fontId="1" type="noConversion"/>
  </si>
  <si>
    <t>期望保底</t>
    <phoneticPr fontId="1" type="noConversion"/>
  </si>
  <si>
    <t>期望系数</t>
    <phoneticPr fontId="1" type="noConversion"/>
  </si>
  <si>
    <t>次数</t>
    <phoneticPr fontId="1" type="noConversion"/>
  </si>
  <si>
    <t>期望出货率</t>
    <phoneticPr fontId="1" type="noConversion"/>
  </si>
  <si>
    <t>统计单项分布</t>
    <phoneticPr fontId="1" type="noConversion"/>
  </si>
  <si>
    <t>所需抽数</t>
    <phoneticPr fontId="1" type="noConversion"/>
  </si>
  <si>
    <t>奖品</t>
    <phoneticPr fontId="1" type="noConversion"/>
  </si>
  <si>
    <t>抽中次数</t>
    <phoneticPr fontId="1" type="noConversion"/>
  </si>
  <si>
    <t>综合期望</t>
    <phoneticPr fontId="1" type="noConversion"/>
  </si>
  <si>
    <t>权重控制</t>
    <phoneticPr fontId="1" type="noConversion"/>
  </si>
  <si>
    <t>目标奖品id</t>
    <phoneticPr fontId="1" type="noConversion"/>
  </si>
  <si>
    <t>样本数量</t>
    <phoneticPr fontId="1" type="noConversion"/>
  </si>
  <si>
    <t>期望</t>
    <phoneticPr fontId="1" type="noConversion"/>
  </si>
  <si>
    <t>单项期望</t>
    <phoneticPr fontId="1" type="noConversion"/>
  </si>
  <si>
    <t>单项中位数</t>
    <phoneticPr fontId="1" type="noConversion"/>
  </si>
  <si>
    <t>道具池数量</t>
    <phoneticPr fontId="1" type="noConversion"/>
  </si>
  <si>
    <t>基础概率</t>
    <phoneticPr fontId="1" type="noConversion"/>
  </si>
  <si>
    <t>命运转轮：
1.卡池数量有限
2.概率配置采用权重方式，最终概率=道具权重/总权重，
3.每种道具都有基础权重，权重为该品类道具的权重，即在该道具数量被抽光之前，权重不会减少，数量被抽光后权重会直接降至0
4.权重控制：如果一个道具开启了权重控制，则可以控制该道具在本次奖池指定抽后的权重修改至设定值，可设置多个权重改变阶段。如果道具被抽光了则后续权重控制不生效</t>
    <phoneticPr fontId="1" type="noConversion"/>
  </si>
  <si>
    <t>卡池召唤：
1.卡池数量无限
2.优先级：所有道具都有优先级，一般设定品质越稀有的道具优先级越高
2.基础概率：每种道具初次抽中的概率，由权重转换成百分制概率
3.保底机制：如果一种道具连续若干次未抽中，则后续每次未抽中都会增加概率，直至被抽中。某道具被抽中后，该道具及优先级低于该道具的所有道具未抽中次数归零，保底机制带来的概率增加移除
4.计算概率：每种道具基础概率+保底机制带来的概率增加
5.实际概率：当所有道具计算概率之和超出1时，按道具优先级从低到高，依次将概率从计算概率降低至0，直至总概率降至1；当所有道具计算概率之和小于1时，按道具优先级从高到低，依次将道具的概率从当前实际概率提升值计算概率，直至总概率提升至1</t>
    <phoneticPr fontId="1" type="noConversion"/>
  </si>
  <si>
    <t>130,50;160,100;180,300</t>
    <phoneticPr fontId="1" type="noConversion"/>
  </si>
  <si>
    <t>高橙</t>
    <phoneticPr fontId="1" type="noConversion"/>
  </si>
  <si>
    <t>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</si>
</sst>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0" fontId="0" fillId="0" borderId="0" xfId="0" applyNumberFormat="1"/>
    <xf numFmtId="11" fontId="0" fillId="0" borderId="0" xfId="0" applyNumberFormat="1"/>
    <xf numFmtId="10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1">
    <cellStyle name="常规" xfId="0" builtinId="0"/>
  </cellStyles>
  <dxfs count="10">
    <dxf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卡池召唤!$L$1</c:f>
              <c:strCache>
                <c:ptCount val="1"/>
                <c:pt idx="0">
                  <c:v>综合期望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CC-48CC-9951-375CB0769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CC-48CC-9951-375CB07699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CC-48CC-9951-375CB07699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CC-48CC-9951-375CB076990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9CC-48CC-9951-375CB076990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9CC-48CC-9951-375CB076990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9CC-48CC-9951-375CB076990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9CC-48CC-9951-375CB076990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9CC-48CC-9951-375CB076990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9CC-48CC-9951-375CB076990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9CC-48CC-9951-375CB076990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9CC-48CC-9951-375CB076990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9CC-48CC-9951-375CB076990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9CC-48CC-9951-375CB0769908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9CC-48CC-9951-375CB0769908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9CC-48CC-9951-375CB0769908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9CC-48CC-9951-375CB0769908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9CC-48CC-9951-375CB0769908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9CC-48CC-9951-375CB0769908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9CC-48CC-9951-375CB07699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卡池召唤!$J$2:$J$21</c:f>
              <c:numCache>
                <c:formatCode>General</c:formatCode>
                <c:ptCount val="20"/>
              </c:numCache>
            </c:numRef>
          </c:cat>
          <c:val>
            <c:numRef>
              <c:f>卡池召唤!$L$2:$L$21</c:f>
              <c:numCache>
                <c:formatCode>0.00%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128A-4E57-B1D1-190F212E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卡池召唤!$U$1</c:f>
              <c:strCache>
                <c:ptCount val="1"/>
                <c:pt idx="0">
                  <c:v>概率密度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卡池召唤!$S$2:$S$81</c:f>
              <c:numCache>
                <c:formatCode>General</c:formatCode>
                <c:ptCount val="80"/>
              </c:numCache>
            </c:numRef>
          </c:cat>
          <c:val>
            <c:numRef>
              <c:f>卡池召唤!$U$2:$U$81</c:f>
              <c:numCache>
                <c:formatCode>General</c:formatCode>
                <c:ptCount val="80"/>
              </c:numCache>
            </c:numRef>
          </c:val>
          <c:extLst>
            <c:ext xmlns:c16="http://schemas.microsoft.com/office/drawing/2014/chart" uri="{C3380CC4-5D6E-409C-BE32-E72D297353CC}">
              <c16:uniqueId val="{00000000-BA44-4A03-AB49-82CBF08D6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92048"/>
        <c:axId val="228922752"/>
      </c:areaChart>
      <c:catAx>
        <c:axId val="32269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8922752"/>
        <c:crosses val="autoZero"/>
        <c:auto val="1"/>
        <c:lblAlgn val="ctr"/>
        <c:lblOffset val="100"/>
        <c:noMultiLvlLbl val="0"/>
      </c:catAx>
      <c:valAx>
        <c:axId val="22892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269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卡池召唤!$V$1</c:f>
              <c:strCache>
                <c:ptCount val="1"/>
                <c:pt idx="0">
                  <c:v>概率分布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卡池召唤!$S$2:$S$81</c:f>
              <c:numCache>
                <c:formatCode>General</c:formatCode>
                <c:ptCount val="80"/>
              </c:numCache>
            </c:numRef>
          </c:cat>
          <c:val>
            <c:numRef>
              <c:f>卡池召唤!$V$2:$V$81</c:f>
              <c:numCache>
                <c:formatCode>General</c:formatCode>
                <c:ptCount val="80"/>
              </c:numCache>
            </c:numRef>
          </c:val>
          <c:extLst>
            <c:ext xmlns:c16="http://schemas.microsoft.com/office/drawing/2014/chart" uri="{C3380CC4-5D6E-409C-BE32-E72D297353CC}">
              <c16:uniqueId val="{00000000-089C-47C2-9660-7A13CA7BB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328480"/>
        <c:axId val="325559664"/>
      </c:areaChart>
      <c:catAx>
        <c:axId val="44032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5559664"/>
        <c:crosses val="autoZero"/>
        <c:auto val="1"/>
        <c:lblAlgn val="ctr"/>
        <c:lblOffset val="100"/>
        <c:noMultiLvlLbl val="0"/>
      </c:catAx>
      <c:valAx>
        <c:axId val="3255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032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命运转轮!$I$1</c:f>
              <c:strCache>
                <c:ptCount val="1"/>
                <c:pt idx="0">
                  <c:v>概率密度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命运转轮!$G$2:$G$201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命运转轮!$I$2:$I$201</c:f>
              <c:numCache>
                <c:formatCode>General</c:formatCode>
                <c:ptCount val="200"/>
                <c:pt idx="0">
                  <c:v>7.8431372549019605E-4</c:v>
                </c:pt>
                <c:pt idx="1">
                  <c:v>5.8823529411764701E-4</c:v>
                </c:pt>
                <c:pt idx="2">
                  <c:v>8.8235294117647062E-4</c:v>
                </c:pt>
                <c:pt idx="3">
                  <c:v>8.8235294117647062E-4</c:v>
                </c:pt>
                <c:pt idx="4">
                  <c:v>8.8235294117647062E-4</c:v>
                </c:pt>
                <c:pt idx="5">
                  <c:v>9.8039215686274508E-4</c:v>
                </c:pt>
                <c:pt idx="6">
                  <c:v>9.8039215686274508E-4</c:v>
                </c:pt>
                <c:pt idx="7">
                  <c:v>1.0784313725490195E-3</c:v>
                </c:pt>
                <c:pt idx="8">
                  <c:v>1.5686274509803921E-3</c:v>
                </c:pt>
                <c:pt idx="9">
                  <c:v>8.8235294117647062E-4</c:v>
                </c:pt>
                <c:pt idx="10">
                  <c:v>4.9019607843137254E-4</c:v>
                </c:pt>
                <c:pt idx="11">
                  <c:v>7.8431372549019605E-4</c:v>
                </c:pt>
                <c:pt idx="12">
                  <c:v>1.2745098039215687E-3</c:v>
                </c:pt>
                <c:pt idx="13">
                  <c:v>5.8823529411764701E-4</c:v>
                </c:pt>
                <c:pt idx="14">
                  <c:v>8.8235294117647062E-4</c:v>
                </c:pt>
                <c:pt idx="15">
                  <c:v>1.0784313725490195E-3</c:v>
                </c:pt>
                <c:pt idx="16">
                  <c:v>2.941176470588235E-4</c:v>
                </c:pt>
                <c:pt idx="17">
                  <c:v>8.8235294117647062E-4</c:v>
                </c:pt>
                <c:pt idx="18">
                  <c:v>6.8627450980392158E-4</c:v>
                </c:pt>
                <c:pt idx="19">
                  <c:v>8.8235294117647062E-4</c:v>
                </c:pt>
                <c:pt idx="20">
                  <c:v>8.8235294117647062E-4</c:v>
                </c:pt>
                <c:pt idx="21">
                  <c:v>9.8039215686274508E-4</c:v>
                </c:pt>
                <c:pt idx="22">
                  <c:v>7.8431372549019605E-4</c:v>
                </c:pt>
                <c:pt idx="23">
                  <c:v>1.0784313725490195E-3</c:v>
                </c:pt>
                <c:pt idx="24">
                  <c:v>7.8431372549019605E-4</c:v>
                </c:pt>
                <c:pt idx="25">
                  <c:v>7.8431372549019605E-4</c:v>
                </c:pt>
                <c:pt idx="26">
                  <c:v>2.941176470588235E-4</c:v>
                </c:pt>
                <c:pt idx="27">
                  <c:v>1.176470588235294E-3</c:v>
                </c:pt>
                <c:pt idx="28">
                  <c:v>7.8431372549019605E-4</c:v>
                </c:pt>
                <c:pt idx="29">
                  <c:v>1.2745098039215687E-3</c:v>
                </c:pt>
                <c:pt idx="30">
                  <c:v>7.8431372549019605E-4</c:v>
                </c:pt>
                <c:pt idx="31">
                  <c:v>1.176470588235294E-3</c:v>
                </c:pt>
                <c:pt idx="32">
                  <c:v>8.8235294117647062E-4</c:v>
                </c:pt>
                <c:pt idx="33">
                  <c:v>6.8627450980392158E-4</c:v>
                </c:pt>
                <c:pt idx="34">
                  <c:v>1.0784313725490195E-3</c:v>
                </c:pt>
                <c:pt idx="35">
                  <c:v>9.8039215686274508E-4</c:v>
                </c:pt>
                <c:pt idx="36">
                  <c:v>1.8627450980392157E-3</c:v>
                </c:pt>
                <c:pt idx="37">
                  <c:v>9.8039215686274508E-4</c:v>
                </c:pt>
                <c:pt idx="38">
                  <c:v>7.8431372549019605E-4</c:v>
                </c:pt>
                <c:pt idx="39">
                  <c:v>8.8235294117647062E-4</c:v>
                </c:pt>
                <c:pt idx="40">
                  <c:v>9.8039215686274508E-4</c:v>
                </c:pt>
                <c:pt idx="41">
                  <c:v>8.8235294117647062E-4</c:v>
                </c:pt>
                <c:pt idx="42">
                  <c:v>7.8431372549019605E-4</c:v>
                </c:pt>
                <c:pt idx="43">
                  <c:v>8.8235294117647062E-4</c:v>
                </c:pt>
                <c:pt idx="44">
                  <c:v>1.2745098039215687E-3</c:v>
                </c:pt>
                <c:pt idx="45">
                  <c:v>1.4705882352941176E-3</c:v>
                </c:pt>
                <c:pt idx="46">
                  <c:v>3.9215686274509802E-4</c:v>
                </c:pt>
                <c:pt idx="47">
                  <c:v>1.176470588235294E-3</c:v>
                </c:pt>
                <c:pt idx="48">
                  <c:v>2.0588235294117649E-3</c:v>
                </c:pt>
                <c:pt idx="49">
                  <c:v>1.4705882352941176E-3</c:v>
                </c:pt>
                <c:pt idx="50">
                  <c:v>1.5686274509803921E-3</c:v>
                </c:pt>
                <c:pt idx="51">
                  <c:v>9.8039215686274508E-4</c:v>
                </c:pt>
                <c:pt idx="52">
                  <c:v>1.2745098039215687E-3</c:v>
                </c:pt>
                <c:pt idx="53">
                  <c:v>1.0784313725490195E-3</c:v>
                </c:pt>
                <c:pt idx="54">
                  <c:v>9.8039215686274508E-4</c:v>
                </c:pt>
                <c:pt idx="55">
                  <c:v>9.8039215686274508E-4</c:v>
                </c:pt>
                <c:pt idx="56">
                  <c:v>1.5686274509803921E-3</c:v>
                </c:pt>
                <c:pt idx="57">
                  <c:v>1.7647058823529412E-3</c:v>
                </c:pt>
                <c:pt idx="58">
                  <c:v>1.3725490196078432E-3</c:v>
                </c:pt>
                <c:pt idx="59">
                  <c:v>1.8627450980392157E-3</c:v>
                </c:pt>
                <c:pt idx="60">
                  <c:v>1.0784313725490195E-3</c:v>
                </c:pt>
                <c:pt idx="61">
                  <c:v>8.8235294117647062E-4</c:v>
                </c:pt>
                <c:pt idx="62">
                  <c:v>1.5686274509803921E-3</c:v>
                </c:pt>
                <c:pt idx="63">
                  <c:v>1.6666666666666668E-3</c:v>
                </c:pt>
                <c:pt idx="64">
                  <c:v>1.4705882352941176E-3</c:v>
                </c:pt>
                <c:pt idx="65">
                  <c:v>1.176470588235294E-3</c:v>
                </c:pt>
                <c:pt idx="66">
                  <c:v>9.8039215686274508E-4</c:v>
                </c:pt>
                <c:pt idx="67">
                  <c:v>1.176470588235294E-3</c:v>
                </c:pt>
                <c:pt idx="68">
                  <c:v>1.0784313725490195E-3</c:v>
                </c:pt>
                <c:pt idx="69">
                  <c:v>1.2745098039215687E-3</c:v>
                </c:pt>
                <c:pt idx="70">
                  <c:v>1.0784313725490195E-3</c:v>
                </c:pt>
                <c:pt idx="71">
                  <c:v>1.2745098039215687E-3</c:v>
                </c:pt>
                <c:pt idx="72">
                  <c:v>1.2745098039215687E-3</c:v>
                </c:pt>
                <c:pt idx="73">
                  <c:v>7.8431372549019605E-4</c:v>
                </c:pt>
                <c:pt idx="74">
                  <c:v>4.9019607843137254E-4</c:v>
                </c:pt>
                <c:pt idx="75">
                  <c:v>1.7647058823529412E-3</c:v>
                </c:pt>
                <c:pt idx="76">
                  <c:v>1.9607843137254902E-3</c:v>
                </c:pt>
                <c:pt idx="77">
                  <c:v>1.5686274509803921E-3</c:v>
                </c:pt>
                <c:pt idx="78">
                  <c:v>1.2745098039215687E-3</c:v>
                </c:pt>
                <c:pt idx="79">
                  <c:v>1.0784313725490195E-3</c:v>
                </c:pt>
                <c:pt idx="80">
                  <c:v>9.8039215686274508E-4</c:v>
                </c:pt>
                <c:pt idx="81">
                  <c:v>1.2745098039215687E-3</c:v>
                </c:pt>
                <c:pt idx="82">
                  <c:v>1.176470588235294E-3</c:v>
                </c:pt>
                <c:pt idx="83">
                  <c:v>1.0784313725490195E-3</c:v>
                </c:pt>
                <c:pt idx="84">
                  <c:v>9.8039215686274508E-4</c:v>
                </c:pt>
                <c:pt idx="85">
                  <c:v>1.7647058823529412E-3</c:v>
                </c:pt>
                <c:pt idx="86">
                  <c:v>1.176470588235294E-3</c:v>
                </c:pt>
                <c:pt idx="87">
                  <c:v>8.8235294117647062E-4</c:v>
                </c:pt>
                <c:pt idx="88">
                  <c:v>7.8431372549019605E-4</c:v>
                </c:pt>
                <c:pt idx="89">
                  <c:v>9.8039215686274508E-4</c:v>
                </c:pt>
                <c:pt idx="90">
                  <c:v>5.8823529411764701E-4</c:v>
                </c:pt>
                <c:pt idx="91">
                  <c:v>6.8627450980392158E-4</c:v>
                </c:pt>
                <c:pt idx="92">
                  <c:v>7.8431372549019605E-4</c:v>
                </c:pt>
                <c:pt idx="93">
                  <c:v>1.0784313725490195E-3</c:v>
                </c:pt>
                <c:pt idx="94">
                  <c:v>1.4705882352941176E-3</c:v>
                </c:pt>
                <c:pt idx="95">
                  <c:v>8.8235294117647062E-4</c:v>
                </c:pt>
                <c:pt idx="96">
                  <c:v>9.8039215686274508E-4</c:v>
                </c:pt>
                <c:pt idx="97">
                  <c:v>1.0784313725490195E-3</c:v>
                </c:pt>
                <c:pt idx="98">
                  <c:v>7.8431372549019605E-4</c:v>
                </c:pt>
                <c:pt idx="99">
                  <c:v>8.8235294117647062E-4</c:v>
                </c:pt>
                <c:pt idx="100">
                  <c:v>1.176470588235294E-3</c:v>
                </c:pt>
                <c:pt idx="101">
                  <c:v>8.8235294117647062E-4</c:v>
                </c:pt>
                <c:pt idx="102">
                  <c:v>9.8039215686274508E-4</c:v>
                </c:pt>
                <c:pt idx="103">
                  <c:v>1.2745098039215687E-3</c:v>
                </c:pt>
                <c:pt idx="104">
                  <c:v>1.176470588235294E-3</c:v>
                </c:pt>
                <c:pt idx="105">
                  <c:v>1.7647058823529412E-3</c:v>
                </c:pt>
                <c:pt idx="106">
                  <c:v>1.6666666666666668E-3</c:v>
                </c:pt>
                <c:pt idx="107">
                  <c:v>1.2745098039215687E-3</c:v>
                </c:pt>
                <c:pt idx="108">
                  <c:v>1.4705882352941176E-3</c:v>
                </c:pt>
                <c:pt idx="109">
                  <c:v>1.0784313725490195E-3</c:v>
                </c:pt>
                <c:pt idx="110">
                  <c:v>8.8235294117647062E-4</c:v>
                </c:pt>
                <c:pt idx="111">
                  <c:v>1.2745098039215687E-3</c:v>
                </c:pt>
                <c:pt idx="112">
                  <c:v>8.8235294117647062E-4</c:v>
                </c:pt>
                <c:pt idx="113">
                  <c:v>1.0784313725490195E-3</c:v>
                </c:pt>
                <c:pt idx="114">
                  <c:v>7.8431372549019605E-4</c:v>
                </c:pt>
                <c:pt idx="115">
                  <c:v>1.8627450980392157E-3</c:v>
                </c:pt>
                <c:pt idx="116">
                  <c:v>9.8039215686274508E-4</c:v>
                </c:pt>
                <c:pt idx="117">
                  <c:v>1.3725490196078432E-3</c:v>
                </c:pt>
                <c:pt idx="118">
                  <c:v>8.8235294117647062E-4</c:v>
                </c:pt>
                <c:pt idx="119">
                  <c:v>1.4705882352941176E-3</c:v>
                </c:pt>
                <c:pt idx="120">
                  <c:v>1.176470588235294E-3</c:v>
                </c:pt>
                <c:pt idx="121">
                  <c:v>1.2745098039215687E-3</c:v>
                </c:pt>
                <c:pt idx="122">
                  <c:v>9.8039215686274508E-4</c:v>
                </c:pt>
                <c:pt idx="123">
                  <c:v>1.176470588235294E-3</c:v>
                </c:pt>
                <c:pt idx="124">
                  <c:v>1.0784313725490195E-3</c:v>
                </c:pt>
                <c:pt idx="125">
                  <c:v>2.1568627450980391E-3</c:v>
                </c:pt>
                <c:pt idx="126">
                  <c:v>2.0588235294117649E-3</c:v>
                </c:pt>
                <c:pt idx="127">
                  <c:v>2.2549019607843138E-3</c:v>
                </c:pt>
                <c:pt idx="128">
                  <c:v>7.8431372549019605E-4</c:v>
                </c:pt>
                <c:pt idx="129">
                  <c:v>6.4705882352941177E-3</c:v>
                </c:pt>
                <c:pt idx="130">
                  <c:v>6.7647058823529409E-3</c:v>
                </c:pt>
                <c:pt idx="131">
                  <c:v>6.8627450980392156E-3</c:v>
                </c:pt>
                <c:pt idx="132">
                  <c:v>7.3529411764705881E-3</c:v>
                </c:pt>
                <c:pt idx="133">
                  <c:v>7.1568627450980396E-3</c:v>
                </c:pt>
                <c:pt idx="134">
                  <c:v>5.2941176470588233E-3</c:v>
                </c:pt>
                <c:pt idx="135">
                  <c:v>5.7843137254901958E-3</c:v>
                </c:pt>
                <c:pt idx="136">
                  <c:v>7.058823529411765E-3</c:v>
                </c:pt>
                <c:pt idx="137">
                  <c:v>8.03921568627451E-3</c:v>
                </c:pt>
                <c:pt idx="138">
                  <c:v>8.5294117647058826E-3</c:v>
                </c:pt>
                <c:pt idx="139">
                  <c:v>5.7843137254901958E-3</c:v>
                </c:pt>
                <c:pt idx="140">
                  <c:v>7.5490196078431375E-3</c:v>
                </c:pt>
                <c:pt idx="141">
                  <c:v>6.2745098039215684E-3</c:v>
                </c:pt>
                <c:pt idx="142">
                  <c:v>8.03921568627451E-3</c:v>
                </c:pt>
                <c:pt idx="143">
                  <c:v>7.1568627450980396E-3</c:v>
                </c:pt>
                <c:pt idx="144">
                  <c:v>5.7843137254901958E-3</c:v>
                </c:pt>
                <c:pt idx="145">
                  <c:v>7.1568627450980396E-3</c:v>
                </c:pt>
                <c:pt idx="146">
                  <c:v>7.9411764705882345E-3</c:v>
                </c:pt>
                <c:pt idx="147">
                  <c:v>8.3333333333333332E-3</c:v>
                </c:pt>
                <c:pt idx="148">
                  <c:v>8.9215686274509796E-3</c:v>
                </c:pt>
                <c:pt idx="149">
                  <c:v>7.9411764705882345E-3</c:v>
                </c:pt>
                <c:pt idx="150">
                  <c:v>8.7254901960784319E-3</c:v>
                </c:pt>
                <c:pt idx="151">
                  <c:v>1.0686274509803922E-2</c:v>
                </c:pt>
                <c:pt idx="152">
                  <c:v>9.705882352941177E-3</c:v>
                </c:pt>
                <c:pt idx="153">
                  <c:v>8.8235294117647058E-3</c:v>
                </c:pt>
                <c:pt idx="154">
                  <c:v>9.6078431372549015E-3</c:v>
                </c:pt>
                <c:pt idx="155">
                  <c:v>1.0784313725490196E-2</c:v>
                </c:pt>
                <c:pt idx="156">
                  <c:v>1.0392156862745097E-2</c:v>
                </c:pt>
                <c:pt idx="157">
                  <c:v>1.2745098039215686E-2</c:v>
                </c:pt>
                <c:pt idx="158">
                  <c:v>1.2352941176470587E-2</c:v>
                </c:pt>
                <c:pt idx="159">
                  <c:v>2.6176470588235294E-2</c:v>
                </c:pt>
                <c:pt idx="160">
                  <c:v>2.627450980392157E-2</c:v>
                </c:pt>
                <c:pt idx="161">
                  <c:v>3.1666666666666669E-2</c:v>
                </c:pt>
                <c:pt idx="162">
                  <c:v>2.4313725490196079E-2</c:v>
                </c:pt>
                <c:pt idx="163">
                  <c:v>2.9019607843137254E-2</c:v>
                </c:pt>
                <c:pt idx="164">
                  <c:v>2.7254901960784315E-2</c:v>
                </c:pt>
                <c:pt idx="165">
                  <c:v>2.5294117647058825E-2</c:v>
                </c:pt>
                <c:pt idx="166">
                  <c:v>2.9705882352941176E-2</c:v>
                </c:pt>
                <c:pt idx="167">
                  <c:v>2.6372549019607842E-2</c:v>
                </c:pt>
                <c:pt idx="168">
                  <c:v>2.7156862745098039E-2</c:v>
                </c:pt>
                <c:pt idx="169">
                  <c:v>2.6372549019607842E-2</c:v>
                </c:pt>
                <c:pt idx="170">
                  <c:v>2.2254901960784314E-2</c:v>
                </c:pt>
                <c:pt idx="171">
                  <c:v>1.9215686274509803E-2</c:v>
                </c:pt>
                <c:pt idx="172">
                  <c:v>1.9117647058823531E-2</c:v>
                </c:pt>
                <c:pt idx="173">
                  <c:v>2.1666666666666667E-2</c:v>
                </c:pt>
                <c:pt idx="174">
                  <c:v>1.8529411764705881E-2</c:v>
                </c:pt>
                <c:pt idx="175">
                  <c:v>1.7647058823529412E-2</c:v>
                </c:pt>
                <c:pt idx="176">
                  <c:v>1.6274509803921568E-2</c:v>
                </c:pt>
                <c:pt idx="177">
                  <c:v>1.3039215686274509E-2</c:v>
                </c:pt>
                <c:pt idx="178">
                  <c:v>1.4313725490196079E-2</c:v>
                </c:pt>
                <c:pt idx="179">
                  <c:v>3.107843137254902E-2</c:v>
                </c:pt>
                <c:pt idx="180">
                  <c:v>2.6568627450980393E-2</c:v>
                </c:pt>
                <c:pt idx="181">
                  <c:v>1.892156862745098E-2</c:v>
                </c:pt>
                <c:pt idx="182">
                  <c:v>1.4509803921568627E-2</c:v>
                </c:pt>
                <c:pt idx="183">
                  <c:v>1.215686274509804E-2</c:v>
                </c:pt>
                <c:pt idx="184">
                  <c:v>9.8039215686274508E-3</c:v>
                </c:pt>
                <c:pt idx="185">
                  <c:v>8.9215686274509796E-3</c:v>
                </c:pt>
                <c:pt idx="186">
                  <c:v>5.9803921568627452E-3</c:v>
                </c:pt>
                <c:pt idx="187">
                  <c:v>4.8039215686274507E-3</c:v>
                </c:pt>
                <c:pt idx="188">
                  <c:v>2.6470588235294116E-3</c:v>
                </c:pt>
                <c:pt idx="189">
                  <c:v>3.8235294117647061E-3</c:v>
                </c:pt>
                <c:pt idx="190">
                  <c:v>2.8431372549019606E-3</c:v>
                </c:pt>
                <c:pt idx="191">
                  <c:v>1.8627450980392157E-3</c:v>
                </c:pt>
                <c:pt idx="192">
                  <c:v>1.5686274509803921E-3</c:v>
                </c:pt>
                <c:pt idx="193">
                  <c:v>1.6666666666666668E-3</c:v>
                </c:pt>
                <c:pt idx="194">
                  <c:v>7.8431372549019605E-4</c:v>
                </c:pt>
                <c:pt idx="195">
                  <c:v>7.8431372549019605E-4</c:v>
                </c:pt>
                <c:pt idx="196">
                  <c:v>3.9215686274509802E-4</c:v>
                </c:pt>
                <c:pt idx="197">
                  <c:v>9.8039215686274506E-5</c:v>
                </c:pt>
                <c:pt idx="198">
                  <c:v>2.941176470588235E-4</c:v>
                </c:pt>
                <c:pt idx="199">
                  <c:v>1.3725490196078432E-3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9-46CA-8C35-1D708F245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641071"/>
        <c:axId val="1322452623"/>
      </c:areaChart>
      <c:catAx>
        <c:axId val="1392641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2452623"/>
        <c:crosses val="autoZero"/>
        <c:auto val="1"/>
        <c:lblAlgn val="ctr"/>
        <c:lblOffset val="100"/>
        <c:noMultiLvlLbl val="0"/>
      </c:catAx>
      <c:valAx>
        <c:axId val="132245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2641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命运转轮!$J$1</c:f>
              <c:strCache>
                <c:ptCount val="1"/>
                <c:pt idx="0">
                  <c:v>概率分布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命运转轮!$G$2:$G$201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命运转轮!$J$2:$J$201</c:f>
              <c:numCache>
                <c:formatCode>General</c:formatCode>
                <c:ptCount val="200"/>
                <c:pt idx="0">
                  <c:v>7.8431372549019605E-4</c:v>
                </c:pt>
                <c:pt idx="1">
                  <c:v>1.3725490196078429E-3</c:v>
                </c:pt>
                <c:pt idx="2">
                  <c:v>2.2549019607843133E-3</c:v>
                </c:pt>
                <c:pt idx="3">
                  <c:v>3.1372549019607837E-3</c:v>
                </c:pt>
                <c:pt idx="4">
                  <c:v>4.0196078431372542E-3</c:v>
                </c:pt>
                <c:pt idx="5">
                  <c:v>4.9999999999999992E-3</c:v>
                </c:pt>
                <c:pt idx="6">
                  <c:v>5.9803921568627443E-3</c:v>
                </c:pt>
                <c:pt idx="7">
                  <c:v>7.0588235294117641E-3</c:v>
                </c:pt>
                <c:pt idx="8">
                  <c:v>8.6274509803921564E-3</c:v>
                </c:pt>
                <c:pt idx="9">
                  <c:v>9.5098039215686277E-3</c:v>
                </c:pt>
                <c:pt idx="10">
                  <c:v>0.01</c:v>
                </c:pt>
                <c:pt idx="11">
                  <c:v>1.0784313725490196E-2</c:v>
                </c:pt>
                <c:pt idx="12">
                  <c:v>1.2058823529411764E-2</c:v>
                </c:pt>
                <c:pt idx="13">
                  <c:v>1.2647058823529411E-2</c:v>
                </c:pt>
                <c:pt idx="14">
                  <c:v>1.3529411764705882E-2</c:v>
                </c:pt>
                <c:pt idx="15">
                  <c:v>1.4607843137254901E-2</c:v>
                </c:pt>
                <c:pt idx="16">
                  <c:v>1.4901960784313724E-2</c:v>
                </c:pt>
                <c:pt idx="17">
                  <c:v>1.5784313725490193E-2</c:v>
                </c:pt>
                <c:pt idx="18">
                  <c:v>1.6470588235294115E-2</c:v>
                </c:pt>
                <c:pt idx="19">
                  <c:v>1.7352941176470585E-2</c:v>
                </c:pt>
                <c:pt idx="20">
                  <c:v>1.8235294117647054E-2</c:v>
                </c:pt>
                <c:pt idx="21">
                  <c:v>1.9215686274509799E-2</c:v>
                </c:pt>
                <c:pt idx="22">
                  <c:v>1.9999999999999997E-2</c:v>
                </c:pt>
                <c:pt idx="23">
                  <c:v>2.1078431372549018E-2</c:v>
                </c:pt>
                <c:pt idx="24">
                  <c:v>2.1862745098039215E-2</c:v>
                </c:pt>
                <c:pt idx="25">
                  <c:v>2.2647058823529412E-2</c:v>
                </c:pt>
                <c:pt idx="26">
                  <c:v>2.2941176470588236E-2</c:v>
                </c:pt>
                <c:pt idx="27">
                  <c:v>2.4117647058823528E-2</c:v>
                </c:pt>
                <c:pt idx="28">
                  <c:v>2.4901960784313726E-2</c:v>
                </c:pt>
                <c:pt idx="29">
                  <c:v>2.6176470588235294E-2</c:v>
                </c:pt>
                <c:pt idx="30">
                  <c:v>2.6960784313725492E-2</c:v>
                </c:pt>
                <c:pt idx="31">
                  <c:v>2.8137254901960784E-2</c:v>
                </c:pt>
                <c:pt idx="32">
                  <c:v>2.9019607843137254E-2</c:v>
                </c:pt>
                <c:pt idx="33">
                  <c:v>2.9705882352941176E-2</c:v>
                </c:pt>
                <c:pt idx="34">
                  <c:v>3.0784313725490196E-2</c:v>
                </c:pt>
                <c:pt idx="35">
                  <c:v>3.1764705882352945E-2</c:v>
                </c:pt>
                <c:pt idx="36">
                  <c:v>3.362745098039216E-2</c:v>
                </c:pt>
                <c:pt idx="37">
                  <c:v>3.4607843137254901E-2</c:v>
                </c:pt>
                <c:pt idx="38">
                  <c:v>3.5392156862745099E-2</c:v>
                </c:pt>
                <c:pt idx="39">
                  <c:v>3.6274509803921572E-2</c:v>
                </c:pt>
                <c:pt idx="40">
                  <c:v>3.725490196078432E-2</c:v>
                </c:pt>
                <c:pt idx="41">
                  <c:v>3.8137254901960793E-2</c:v>
                </c:pt>
                <c:pt idx="42">
                  <c:v>3.8921568627450991E-2</c:v>
                </c:pt>
                <c:pt idx="43">
                  <c:v>3.9803921568627464E-2</c:v>
                </c:pt>
                <c:pt idx="44">
                  <c:v>4.1078431372549032E-2</c:v>
                </c:pt>
                <c:pt idx="45">
                  <c:v>4.2549019607843151E-2</c:v>
                </c:pt>
                <c:pt idx="46">
                  <c:v>4.2941176470588246E-2</c:v>
                </c:pt>
                <c:pt idx="47">
                  <c:v>4.4117647058823539E-2</c:v>
                </c:pt>
                <c:pt idx="48">
                  <c:v>4.6176470588235305E-2</c:v>
                </c:pt>
                <c:pt idx="49">
                  <c:v>4.7647058823529424E-2</c:v>
                </c:pt>
                <c:pt idx="50">
                  <c:v>4.9215686274509819E-2</c:v>
                </c:pt>
                <c:pt idx="51">
                  <c:v>5.0196078431372568E-2</c:v>
                </c:pt>
                <c:pt idx="52">
                  <c:v>5.1470588235294136E-2</c:v>
                </c:pt>
                <c:pt idx="53">
                  <c:v>5.2549019607843153E-2</c:v>
                </c:pt>
                <c:pt idx="54">
                  <c:v>5.3529411764705895E-2</c:v>
                </c:pt>
                <c:pt idx="55">
                  <c:v>5.4509803921568636E-2</c:v>
                </c:pt>
                <c:pt idx="56">
                  <c:v>5.6078431372549031E-2</c:v>
                </c:pt>
                <c:pt idx="57">
                  <c:v>5.784313725490197E-2</c:v>
                </c:pt>
                <c:pt idx="58">
                  <c:v>5.9215686274509814E-2</c:v>
                </c:pt>
                <c:pt idx="59">
                  <c:v>6.1078431372549029E-2</c:v>
                </c:pt>
                <c:pt idx="60">
                  <c:v>6.2156862745098046E-2</c:v>
                </c:pt>
                <c:pt idx="61">
                  <c:v>6.3039215686274519E-2</c:v>
                </c:pt>
                <c:pt idx="62">
                  <c:v>6.4607843137254914E-2</c:v>
                </c:pt>
                <c:pt idx="63">
                  <c:v>6.6274509803921577E-2</c:v>
                </c:pt>
                <c:pt idx="64">
                  <c:v>6.774509803921569E-2</c:v>
                </c:pt>
                <c:pt idx="65">
                  <c:v>6.8921568627450983E-2</c:v>
                </c:pt>
                <c:pt idx="66">
                  <c:v>6.9901960784313724E-2</c:v>
                </c:pt>
                <c:pt idx="67">
                  <c:v>7.1078431372549017E-2</c:v>
                </c:pt>
                <c:pt idx="68">
                  <c:v>7.2156862745098041E-2</c:v>
                </c:pt>
                <c:pt idx="69">
                  <c:v>7.3431372549019616E-2</c:v>
                </c:pt>
                <c:pt idx="70">
                  <c:v>7.450980392156864E-2</c:v>
                </c:pt>
                <c:pt idx="71">
                  <c:v>7.5784313725490215E-2</c:v>
                </c:pt>
                <c:pt idx="72">
                  <c:v>7.7058823529411791E-2</c:v>
                </c:pt>
                <c:pt idx="73">
                  <c:v>7.7843137254901981E-2</c:v>
                </c:pt>
                <c:pt idx="74">
                  <c:v>7.8333333333333352E-2</c:v>
                </c:pt>
                <c:pt idx="75">
                  <c:v>8.0098039215686298E-2</c:v>
                </c:pt>
                <c:pt idx="76">
                  <c:v>8.2058823529411795E-2</c:v>
                </c:pt>
                <c:pt idx="77">
                  <c:v>8.362745098039219E-2</c:v>
                </c:pt>
                <c:pt idx="78">
                  <c:v>8.4901960784313765E-2</c:v>
                </c:pt>
                <c:pt idx="79">
                  <c:v>8.5980392156862789E-2</c:v>
                </c:pt>
                <c:pt idx="80">
                  <c:v>8.6960784313725531E-2</c:v>
                </c:pt>
                <c:pt idx="81">
                  <c:v>8.8235294117647106E-2</c:v>
                </c:pt>
                <c:pt idx="82">
                  <c:v>8.9411764705882399E-2</c:v>
                </c:pt>
                <c:pt idx="83">
                  <c:v>9.0490196078431423E-2</c:v>
                </c:pt>
                <c:pt idx="84">
                  <c:v>9.1470588235294165E-2</c:v>
                </c:pt>
                <c:pt idx="85">
                  <c:v>9.3235294117647111E-2</c:v>
                </c:pt>
                <c:pt idx="86">
                  <c:v>9.4411764705882403E-2</c:v>
                </c:pt>
                <c:pt idx="87">
                  <c:v>9.5294117647058876E-2</c:v>
                </c:pt>
                <c:pt idx="88">
                  <c:v>9.6078431372549067E-2</c:v>
                </c:pt>
                <c:pt idx="89">
                  <c:v>9.7058823529411808E-2</c:v>
                </c:pt>
                <c:pt idx="90">
                  <c:v>9.7647058823529462E-2</c:v>
                </c:pt>
                <c:pt idx="91">
                  <c:v>9.8333333333333384E-2</c:v>
                </c:pt>
                <c:pt idx="92">
                  <c:v>9.9117647058823574E-2</c:v>
                </c:pt>
                <c:pt idx="93">
                  <c:v>0.1001960784313726</c:v>
                </c:pt>
                <c:pt idx="94">
                  <c:v>0.10166666666666671</c:v>
                </c:pt>
                <c:pt idx="95">
                  <c:v>0.10254901960784318</c:v>
                </c:pt>
                <c:pt idx="96">
                  <c:v>0.10352941176470593</c:v>
                </c:pt>
                <c:pt idx="97">
                  <c:v>0.10460784313725495</c:v>
                </c:pt>
                <c:pt idx="98">
                  <c:v>0.10539215686274514</c:v>
                </c:pt>
                <c:pt idx="99">
                  <c:v>0.10627450980392161</c:v>
                </c:pt>
                <c:pt idx="100">
                  <c:v>0.10745098039215691</c:v>
                </c:pt>
                <c:pt idx="101">
                  <c:v>0.10833333333333338</c:v>
                </c:pt>
                <c:pt idx="102">
                  <c:v>0.10931372549019612</c:v>
                </c:pt>
                <c:pt idx="103">
                  <c:v>0.1105882352941177</c:v>
                </c:pt>
                <c:pt idx="104">
                  <c:v>0.11176470588235299</c:v>
                </c:pt>
                <c:pt idx="105">
                  <c:v>0.11352941176470593</c:v>
                </c:pt>
                <c:pt idx="106">
                  <c:v>0.1151960784313726</c:v>
                </c:pt>
                <c:pt idx="107">
                  <c:v>0.11647058823529417</c:v>
                </c:pt>
                <c:pt idx="108">
                  <c:v>0.11794117647058829</c:v>
                </c:pt>
                <c:pt idx="109">
                  <c:v>0.11901960784313731</c:v>
                </c:pt>
                <c:pt idx="110">
                  <c:v>0.11990196078431378</c:v>
                </c:pt>
                <c:pt idx="111">
                  <c:v>0.12117647058823536</c:v>
                </c:pt>
                <c:pt idx="112">
                  <c:v>0.12205882352941183</c:v>
                </c:pt>
                <c:pt idx="113">
                  <c:v>0.12313725490196085</c:v>
                </c:pt>
                <c:pt idx="114">
                  <c:v>0.12392156862745105</c:v>
                </c:pt>
                <c:pt idx="115">
                  <c:v>0.12578431372549026</c:v>
                </c:pt>
                <c:pt idx="116">
                  <c:v>0.126764705882353</c:v>
                </c:pt>
                <c:pt idx="117">
                  <c:v>0.12813725490196085</c:v>
                </c:pt>
                <c:pt idx="118">
                  <c:v>0.12901960784313732</c:v>
                </c:pt>
                <c:pt idx="119">
                  <c:v>0.13049019607843143</c:v>
                </c:pt>
                <c:pt idx="120">
                  <c:v>0.13166666666666674</c:v>
                </c:pt>
                <c:pt idx="121">
                  <c:v>0.13294117647058831</c:v>
                </c:pt>
                <c:pt idx="122">
                  <c:v>0.13392156862745105</c:v>
                </c:pt>
                <c:pt idx="123">
                  <c:v>0.13509803921568636</c:v>
                </c:pt>
                <c:pt idx="124">
                  <c:v>0.13617647058823537</c:v>
                </c:pt>
                <c:pt idx="125">
                  <c:v>0.13833333333333342</c:v>
                </c:pt>
                <c:pt idx="126">
                  <c:v>0.14039215686274517</c:v>
                </c:pt>
                <c:pt idx="127">
                  <c:v>0.14264705882352949</c:v>
                </c:pt>
                <c:pt idx="128">
                  <c:v>0.14343137254901969</c:v>
                </c:pt>
                <c:pt idx="129">
                  <c:v>0.14990196078431381</c:v>
                </c:pt>
                <c:pt idx="130">
                  <c:v>0.15666666666666676</c:v>
                </c:pt>
                <c:pt idx="131">
                  <c:v>0.16352941176470598</c:v>
                </c:pt>
                <c:pt idx="132">
                  <c:v>0.17088235294117657</c:v>
                </c:pt>
                <c:pt idx="133">
                  <c:v>0.17803921568627462</c:v>
                </c:pt>
                <c:pt idx="134">
                  <c:v>0.18333333333333343</c:v>
                </c:pt>
                <c:pt idx="135">
                  <c:v>0.18911764705882364</c:v>
                </c:pt>
                <c:pt idx="136">
                  <c:v>0.1961764705882354</c:v>
                </c:pt>
                <c:pt idx="137">
                  <c:v>0.20421568627450989</c:v>
                </c:pt>
                <c:pt idx="138">
                  <c:v>0.21274509803921576</c:v>
                </c:pt>
                <c:pt idx="139">
                  <c:v>0.21852941176470597</c:v>
                </c:pt>
                <c:pt idx="140">
                  <c:v>0.2260784313725491</c:v>
                </c:pt>
                <c:pt idx="141">
                  <c:v>0.23235294117647068</c:v>
                </c:pt>
                <c:pt idx="142">
                  <c:v>0.24039215686274518</c:v>
                </c:pt>
                <c:pt idx="143">
                  <c:v>0.24754901960784323</c:v>
                </c:pt>
                <c:pt idx="144">
                  <c:v>0.25333333333333341</c:v>
                </c:pt>
                <c:pt idx="145">
                  <c:v>0.26049019607843144</c:v>
                </c:pt>
                <c:pt idx="146">
                  <c:v>0.26843137254901966</c:v>
                </c:pt>
                <c:pt idx="147">
                  <c:v>0.27676470588235302</c:v>
                </c:pt>
                <c:pt idx="148">
                  <c:v>0.28568627450980399</c:v>
                </c:pt>
                <c:pt idx="149">
                  <c:v>0.29362745098039222</c:v>
                </c:pt>
                <c:pt idx="150">
                  <c:v>0.30235294117647066</c:v>
                </c:pt>
                <c:pt idx="151">
                  <c:v>0.31303921568627457</c:v>
                </c:pt>
                <c:pt idx="152">
                  <c:v>0.32274509803921575</c:v>
                </c:pt>
                <c:pt idx="153">
                  <c:v>0.33156862745098048</c:v>
                </c:pt>
                <c:pt idx="154">
                  <c:v>0.34117647058823536</c:v>
                </c:pt>
                <c:pt idx="155">
                  <c:v>0.35196078431372557</c:v>
                </c:pt>
                <c:pt idx="156">
                  <c:v>0.36235294117647066</c:v>
                </c:pt>
                <c:pt idx="157">
                  <c:v>0.37509803921568635</c:v>
                </c:pt>
                <c:pt idx="158">
                  <c:v>0.38745098039215692</c:v>
                </c:pt>
                <c:pt idx="159">
                  <c:v>0.41362745098039222</c:v>
                </c:pt>
                <c:pt idx="160">
                  <c:v>0.43990196078431376</c:v>
                </c:pt>
                <c:pt idx="161">
                  <c:v>0.47156862745098044</c:v>
                </c:pt>
                <c:pt idx="162">
                  <c:v>0.4958823529411765</c:v>
                </c:pt>
                <c:pt idx="163">
                  <c:v>0.52490196078431373</c:v>
                </c:pt>
                <c:pt idx="164">
                  <c:v>0.55215686274509801</c:v>
                </c:pt>
                <c:pt idx="165">
                  <c:v>0.57745098039215681</c:v>
                </c:pt>
                <c:pt idx="166">
                  <c:v>0.60715686274509795</c:v>
                </c:pt>
                <c:pt idx="167">
                  <c:v>0.63352941176470579</c:v>
                </c:pt>
                <c:pt idx="168">
                  <c:v>0.66068627450980377</c:v>
                </c:pt>
                <c:pt idx="169">
                  <c:v>0.68705882352941161</c:v>
                </c:pt>
                <c:pt idx="170">
                  <c:v>0.70931372549019589</c:v>
                </c:pt>
                <c:pt idx="171">
                  <c:v>0.72852941176470565</c:v>
                </c:pt>
                <c:pt idx="172">
                  <c:v>0.74764705882352922</c:v>
                </c:pt>
                <c:pt idx="173">
                  <c:v>0.76931372549019583</c:v>
                </c:pt>
                <c:pt idx="174">
                  <c:v>0.78784313725490174</c:v>
                </c:pt>
                <c:pt idx="175">
                  <c:v>0.8054901960784312</c:v>
                </c:pt>
                <c:pt idx="176">
                  <c:v>0.82176470588235273</c:v>
                </c:pt>
                <c:pt idx="177">
                  <c:v>0.83480392156862726</c:v>
                </c:pt>
                <c:pt idx="178">
                  <c:v>0.84911764705882331</c:v>
                </c:pt>
                <c:pt idx="179">
                  <c:v>0.88019607843137238</c:v>
                </c:pt>
                <c:pt idx="180">
                  <c:v>0.90676470588235281</c:v>
                </c:pt>
                <c:pt idx="181">
                  <c:v>0.92568627450980379</c:v>
                </c:pt>
                <c:pt idx="182">
                  <c:v>0.94019607843137243</c:v>
                </c:pt>
                <c:pt idx="183">
                  <c:v>0.95235294117647051</c:v>
                </c:pt>
                <c:pt idx="184">
                  <c:v>0.96215686274509793</c:v>
                </c:pt>
                <c:pt idx="185">
                  <c:v>0.9710784313725489</c:v>
                </c:pt>
                <c:pt idx="186">
                  <c:v>0.97705882352941165</c:v>
                </c:pt>
                <c:pt idx="187">
                  <c:v>0.98186274509803906</c:v>
                </c:pt>
                <c:pt idx="188">
                  <c:v>0.9845098039215685</c:v>
                </c:pt>
                <c:pt idx="189">
                  <c:v>0.98833333333333317</c:v>
                </c:pt>
                <c:pt idx="190">
                  <c:v>0.9911764705882351</c:v>
                </c:pt>
                <c:pt idx="191">
                  <c:v>0.99303921568627429</c:v>
                </c:pt>
                <c:pt idx="192">
                  <c:v>0.9946078431372547</c:v>
                </c:pt>
                <c:pt idx="193">
                  <c:v>0.9962745098039214</c:v>
                </c:pt>
                <c:pt idx="194">
                  <c:v>0.99705882352941155</c:v>
                </c:pt>
                <c:pt idx="195">
                  <c:v>0.9978431372549017</c:v>
                </c:pt>
                <c:pt idx="196">
                  <c:v>0.99823529411764678</c:v>
                </c:pt>
                <c:pt idx="197">
                  <c:v>0.99833333333333307</c:v>
                </c:pt>
                <c:pt idx="198">
                  <c:v>0.99862745098039185</c:v>
                </c:pt>
                <c:pt idx="199">
                  <c:v>0.99999999999999967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E-44E6-ABC3-A103601E1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644911"/>
        <c:axId val="1128313679"/>
      </c:areaChart>
      <c:catAx>
        <c:axId val="139264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313679"/>
        <c:crosses val="autoZero"/>
        <c:auto val="1"/>
        <c:lblAlgn val="ctr"/>
        <c:lblOffset val="100"/>
        <c:noMultiLvlLbl val="0"/>
      </c:catAx>
      <c:valAx>
        <c:axId val="1128313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2644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15</xdr:row>
          <xdr:rowOff>114300</xdr:rowOff>
        </xdr:from>
        <xdr:to>
          <xdr:col>5</xdr:col>
          <xdr:colOff>57150</xdr:colOff>
          <xdr:row>18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开抽！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466725</xdr:colOff>
      <xdr:row>21</xdr:row>
      <xdr:rowOff>133350</xdr:rowOff>
    </xdr:from>
    <xdr:to>
      <xdr:col>8</xdr:col>
      <xdr:colOff>80962</xdr:colOff>
      <xdr:row>38</xdr:row>
      <xdr:rowOff>123825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519112</xdr:colOff>
      <xdr:row>8</xdr:row>
      <xdr:rowOff>28575</xdr:rowOff>
    </xdr:from>
    <xdr:to>
      <xdr:col>17</xdr:col>
      <xdr:colOff>161925</xdr:colOff>
      <xdr:row>23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509586</xdr:colOff>
      <xdr:row>24</xdr:row>
      <xdr:rowOff>161925</xdr:rowOff>
    </xdr:from>
    <xdr:to>
      <xdr:col>17</xdr:col>
      <xdr:colOff>161924</xdr:colOff>
      <xdr:row>40</xdr:row>
      <xdr:rowOff>9525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457200</xdr:colOff>
          <xdr:row>15</xdr:row>
          <xdr:rowOff>114300</xdr:rowOff>
        </xdr:from>
        <xdr:to>
          <xdr:col>7</xdr:col>
          <xdr:colOff>361950</xdr:colOff>
          <xdr:row>18</xdr:row>
          <xdr:rowOff>9525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清除抽卡数据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20</xdr:row>
          <xdr:rowOff>0</xdr:rowOff>
        </xdr:from>
        <xdr:to>
          <xdr:col>3</xdr:col>
          <xdr:colOff>1885950</xdr:colOff>
          <xdr:row>22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开抽！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23</xdr:row>
          <xdr:rowOff>142875</xdr:rowOff>
        </xdr:from>
        <xdr:to>
          <xdr:col>3</xdr:col>
          <xdr:colOff>1885950</xdr:colOff>
          <xdr:row>26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清除转轮数据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71436</xdr:colOff>
      <xdr:row>7</xdr:row>
      <xdr:rowOff>47624</xdr:rowOff>
    </xdr:from>
    <xdr:to>
      <xdr:col>21</xdr:col>
      <xdr:colOff>590549</xdr:colOff>
      <xdr:row>23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80962</xdr:colOff>
      <xdr:row>23</xdr:row>
      <xdr:rowOff>114299</xdr:rowOff>
    </xdr:from>
    <xdr:to>
      <xdr:col>21</xdr:col>
      <xdr:colOff>609600</xdr:colOff>
      <xdr:row>39</xdr:row>
      <xdr:rowOff>47624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9B7308-4215-4623-94D8-DACD99BE5C64}" name="卡池召唤" displayName="卡池召唤" ref="A1:H6" totalsRowShown="0">
  <tableColumns count="8">
    <tableColumn id="1" xr3:uid="{A4D75FDA-F7D2-4075-A180-358CF10E2999}" name="奖品id"/>
    <tableColumn id="2" xr3:uid="{72A2AE24-0443-4DA2-AF82-98E0B5BD991C}" name="名称"/>
    <tableColumn id="4" xr3:uid="{D3A469C0-CBD2-41B4-97A8-2A90346BAF61}" name="初始权重"/>
    <tableColumn id="5" xr3:uid="{4BDE74C6-1B42-4B20-92D3-D9C5C63A34F9}" name="动态指标次数"/>
    <tableColumn id="6" xr3:uid="{6220AED4-6C98-457A-BF20-C92989862D95}" name="动态系数"/>
    <tableColumn id="3" xr3:uid="{2089EBF3-45E4-4AE2-B707-2D370727A841}" name="期望出货率" dataDxfId="9">
      <calculatedColumnFormula array="1">getExpectTimes(卡池召唤[[#This Row],[初始权重]]/SUM(卡池召唤[初始权重]),卡池召唤[[#This Row],[动态指标次数]],卡池召唤[[#This Row],[动态系数]])</calculatedColumnFormula>
    </tableColumn>
    <tableColumn id="7" xr3:uid="{29C8F749-9EF8-4031-A7AD-64D9DF64EA40}" name="期望保底" dataDxfId="8"/>
    <tableColumn id="8" xr3:uid="{7FD80C15-E047-4A82-91AC-8BC3CADFB5C6}" name="期望系数" dataDxfId="7">
      <calculatedColumnFormula>(1-卡池召唤[[#This Row],[初始权重]]/SUM(卡池召唤[初始权重]))/(卡池召唤[[#This Row],[期望保底]]-卡池召唤[[#This Row],[动态指标次数]])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7A4B94-0B08-4248-B138-DA4418E5BFF2}" name="卡池召唤配置" displayName="卡池召唤配置" ref="B17:C20" totalsRowShown="0">
  <tableColumns count="2">
    <tableColumn id="1" xr3:uid="{0B55D91D-F7D2-4C66-ACF1-25C21C716952}" name="配置项"/>
    <tableColumn id="2" xr3:uid="{EAC6E235-D9C5-469A-938C-8E2B9448DBC2}" name="参数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BE5640-432B-4E20-9299-6F53DB14B8B6}" name="命运转轮" displayName="命运转轮" ref="A1:E10" totalsRowShown="0" headerRowDxfId="6" dataDxfId="5">
  <tableColumns count="5">
    <tableColumn id="1" xr3:uid="{CF1AB0B3-DCAD-4995-ADD1-C32218D49006}" name="奖品id" dataDxfId="4"/>
    <tableColumn id="2" xr3:uid="{B9D31941-22CD-41F9-97E0-E88940FE3378}" name="道具数量" dataDxfId="3"/>
    <tableColumn id="3" xr3:uid="{AD17FA41-E925-4870-9217-F20EE993C7AC}" name="概率权重" dataDxfId="2"/>
    <tableColumn id="4" xr3:uid="{086640C4-9A11-4218-93E1-247A6A1C66FC}" name="权重控制"/>
    <tableColumn id="5" xr3:uid="{C49E05F8-A73F-4926-82E1-654634F691D2}" name="基础概率" dataDxfId="1">
      <calculatedColumnFormula>命运转轮[[#This Row],[概率权重]]/SUM(命运转轮[概率权重])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CDF45D-029B-483C-99FD-FE191D8563E8}" name="命运转轮配置" displayName="命运转轮配置" ref="B22:C25" totalsRowShown="0" headerRowDxfId="0">
  <tableColumns count="2">
    <tableColumn id="1" xr3:uid="{0274D357-31FF-40A8-95EB-F94CC4194A7D}" name="配置项"/>
    <tableColumn id="2" xr3:uid="{EFE61B15-FFBE-40D4-A20C-3207FE8F6A7C}" name="参数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98EC5-28BD-4A58-AC38-DCE8D681A62E}">
  <sheetPr codeName="Sheet1"/>
  <dimension ref="A1:A2"/>
  <sheetViews>
    <sheetView workbookViewId="0">
      <selection activeCell="A12" sqref="A12"/>
    </sheetView>
  </sheetViews>
  <sheetFormatPr defaultRowHeight="14.25" x14ac:dyDescent="0.2"/>
  <cols>
    <col min="1" max="1" width="159.75" customWidth="1"/>
  </cols>
  <sheetData>
    <row r="1" spans="1:1" ht="84" customHeight="1" x14ac:dyDescent="0.2">
      <c r="A1" s="6" t="s">
        <v>37</v>
      </c>
    </row>
    <row r="2" spans="1:1" ht="181.5" customHeight="1" x14ac:dyDescent="0.2">
      <c r="A2" s="6" t="s">
        <v>38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7DF3-65A8-425A-9F99-B2C2D8631C2B}">
  <sheetPr codeName="Sheet3"/>
  <dimension ref="A1:V21"/>
  <sheetViews>
    <sheetView tabSelected="1" workbookViewId="0">
      <selection activeCell="D11" sqref="D11"/>
    </sheetView>
  </sheetViews>
  <sheetFormatPr defaultRowHeight="14.25" x14ac:dyDescent="0.2"/>
  <cols>
    <col min="1" max="1" width="6.75" customWidth="1"/>
    <col min="2" max="2" width="12.375" customWidth="1"/>
    <col min="3" max="3" width="9.375" customWidth="1"/>
    <col min="4" max="4" width="12.25" customWidth="1"/>
    <col min="5" max="5" width="9.875" customWidth="1"/>
    <col min="6" max="6" width="10.25" customWidth="1"/>
    <col min="7" max="7" width="9.5" customWidth="1"/>
    <col min="8" max="8" width="9.875" customWidth="1"/>
    <col min="12" max="12" width="10.75" style="2" customWidth="1"/>
    <col min="14" max="14" width="11" customWidth="1"/>
    <col min="15" max="15" width="8.75" customWidth="1"/>
    <col min="16" max="16" width="10.625" customWidth="1"/>
  </cols>
  <sheetData>
    <row r="1" spans="1:22" x14ac:dyDescent="0.2">
      <c r="A1" t="s">
        <v>7</v>
      </c>
      <c r="B1" t="s">
        <v>8</v>
      </c>
      <c r="C1" t="s">
        <v>11</v>
      </c>
      <c r="D1" t="s">
        <v>15</v>
      </c>
      <c r="E1" t="s">
        <v>16</v>
      </c>
      <c r="F1" t="s">
        <v>23</v>
      </c>
      <c r="G1" t="s">
        <v>20</v>
      </c>
      <c r="H1" t="s">
        <v>21</v>
      </c>
      <c r="J1" s="1" t="s">
        <v>26</v>
      </c>
      <c r="K1" s="1" t="s">
        <v>27</v>
      </c>
      <c r="L1" s="4" t="s">
        <v>28</v>
      </c>
      <c r="S1" s="1" t="s">
        <v>25</v>
      </c>
      <c r="T1" s="1" t="s">
        <v>22</v>
      </c>
      <c r="U1" s="1" t="s">
        <v>5</v>
      </c>
      <c r="V1" s="1" t="s">
        <v>6</v>
      </c>
    </row>
    <row r="2" spans="1:22" x14ac:dyDescent="0.2">
      <c r="A2">
        <v>1</v>
      </c>
      <c r="B2" t="s">
        <v>41</v>
      </c>
      <c r="C2">
        <v>10</v>
      </c>
      <c r="D2">
        <v>150</v>
      </c>
      <c r="E2">
        <v>3.3399999999999999E-2</v>
      </c>
      <c r="F2" s="2" cm="1">
        <f t="array" ref="F2">getExpectTimes(卡池召唤[[#This Row],[初始权重]]/SUM(卡池召唤[初始权重]),卡池召唤[[#This Row],[动态指标次数]],卡池召唤[[#This Row],[动态系数]])</f>
        <v>6.8977190544309442E-3</v>
      </c>
      <c r="G2">
        <v>80</v>
      </c>
      <c r="H2">
        <f>(1-卡池召唤[[#This Row],[初始权重]]/SUM(卡池召唤[初始权重]))/(卡池召唤[[#This Row],[期望保底]]-卡池召唤[[#This Row],[动态指标次数]])</f>
        <v>-1.4271442842871416E-2</v>
      </c>
    </row>
    <row r="3" spans="1:22" x14ac:dyDescent="0.2">
      <c r="A3">
        <v>2</v>
      </c>
      <c r="B3" t="s">
        <v>40</v>
      </c>
      <c r="C3">
        <v>30</v>
      </c>
      <c r="D3">
        <v>60</v>
      </c>
      <c r="E3">
        <v>4.9875000000000003E-2</v>
      </c>
      <c r="F3" s="2" cm="1">
        <f t="array" ref="F3">getExpectTimes(卡池召唤[[#This Row],[初始权重]]/SUM(卡池召唤[初始权重]),卡池召唤[[#This Row],[动态指标次数]],卡池召唤[[#This Row],[动态系数]])</f>
        <v>1.6842557655343867E-2</v>
      </c>
      <c r="H3">
        <f>(1-卡池召唤[[#This Row],[初始权重]]/SUM(卡池召唤[初始权重]))/(卡池召唤[[#This Row],[期望保底]]-卡池召唤[[#This Row],[动态指标次数]])</f>
        <v>-1.6616716616716615E-2</v>
      </c>
      <c r="N3" t="s">
        <v>18</v>
      </c>
      <c r="O3">
        <v>0</v>
      </c>
    </row>
    <row r="4" spans="1:22" x14ac:dyDescent="0.2">
      <c r="A4">
        <v>3</v>
      </c>
      <c r="B4" t="s">
        <v>12</v>
      </c>
      <c r="C4">
        <v>100</v>
      </c>
      <c r="D4">
        <v>14</v>
      </c>
      <c r="E4">
        <v>0.16450000000000001</v>
      </c>
      <c r="F4" s="2" cm="1">
        <f t="array" ref="F4">getExpectTimes(卡池召唤[[#This Row],[初始权重]]/SUM(卡池召唤[初始权重]),卡池召唤[[#This Row],[动态指标次数]],卡池召唤[[#This Row],[动态系数]])</f>
        <v>6.4461262586544749E-2</v>
      </c>
      <c r="G4">
        <v>20</v>
      </c>
      <c r="H4">
        <f>(1-卡池召唤[[#This Row],[初始权重]]/SUM(卡池召唤[初始权重]))/(卡池召唤[[#This Row],[期望保底]]-卡池召唤[[#This Row],[动态指标次数]])</f>
        <v>0.16500166500166499</v>
      </c>
      <c r="N4" t="s">
        <v>19</v>
      </c>
      <c r="O4">
        <f>SUM(K:K)</f>
        <v>0</v>
      </c>
    </row>
    <row r="5" spans="1:22" x14ac:dyDescent="0.2">
      <c r="A5">
        <v>4</v>
      </c>
      <c r="B5" t="s">
        <v>13</v>
      </c>
      <c r="C5">
        <v>870</v>
      </c>
      <c r="D5">
        <v>8</v>
      </c>
      <c r="E5">
        <v>0.45650000000000002</v>
      </c>
      <c r="F5" s="2" cm="1">
        <f t="array" ref="F5">getExpectTimes(卡池召唤[[#This Row],[初始权重]]/SUM(卡池召唤[初始权重]),卡池召唤[[#This Row],[动态指标次数]],卡池召唤[[#This Row],[动态系数]])</f>
        <v>0.15036808749843211</v>
      </c>
      <c r="G5">
        <v>10</v>
      </c>
      <c r="H5">
        <f>(1-卡池召唤[[#This Row],[初始权重]]/SUM(卡池召唤[初始权重]))/(卡池召唤[[#This Row],[期望保底]]-卡池召唤[[#This Row],[动态指标次数]])</f>
        <v>0.45654345654345652</v>
      </c>
      <c r="N5" t="s">
        <v>33</v>
      </c>
      <c r="O5" cm="1">
        <f t="array" ref="O5">SUM(S2:S65536*U2:U65536)</f>
        <v>0</v>
      </c>
    </row>
    <row r="6" spans="1:22" x14ac:dyDescent="0.2">
      <c r="A6">
        <v>5</v>
      </c>
      <c r="B6" t="s">
        <v>14</v>
      </c>
      <c r="C6">
        <v>9000</v>
      </c>
      <c r="D6">
        <v>0</v>
      </c>
      <c r="E6">
        <v>0</v>
      </c>
      <c r="F6" s="2" cm="1">
        <f t="array" ref="F6">getExpectTimes(卡池召唤[[#This Row],[初始权重]]/SUM(卡池召唤[初始权重]),卡池召唤[[#This Row],[动态指标次数]],卡池召唤[[#This Row],[动态系数]])</f>
        <v>0.89910089910089908</v>
      </c>
      <c r="G6">
        <v>0</v>
      </c>
      <c r="H6" t="e">
        <f>(1-卡池召唤[[#This Row],[初始权重]]/SUM(卡池召唤[初始权重]))/(卡池召唤[[#This Row],[期望保底]]-卡池召唤[[#This Row],[动态指标次数]])</f>
        <v>#DIV/0!</v>
      </c>
      <c r="N6" t="s">
        <v>34</v>
      </c>
      <c r="O6">
        <v>0</v>
      </c>
    </row>
    <row r="17" spans="2:17" x14ac:dyDescent="0.2">
      <c r="B17" t="s">
        <v>10</v>
      </c>
      <c r="C17" t="s">
        <v>9</v>
      </c>
      <c r="I17" s="2"/>
      <c r="L17"/>
    </row>
    <row r="18" spans="2:17" x14ac:dyDescent="0.2">
      <c r="B18" t="s">
        <v>3</v>
      </c>
      <c r="C18">
        <v>1000</v>
      </c>
      <c r="I18" s="2"/>
      <c r="L18"/>
    </row>
    <row r="19" spans="2:17" x14ac:dyDescent="0.2">
      <c r="B19" t="s">
        <v>17</v>
      </c>
      <c r="C19" t="b">
        <v>0</v>
      </c>
      <c r="I19" s="2"/>
      <c r="L19"/>
    </row>
    <row r="20" spans="2:17" x14ac:dyDescent="0.2">
      <c r="B20" t="s">
        <v>24</v>
      </c>
      <c r="C20">
        <v>1</v>
      </c>
      <c r="I20" s="2"/>
      <c r="L20"/>
    </row>
    <row r="21" spans="2:17" x14ac:dyDescent="0.2">
      <c r="Q21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startCardSummon">
                <anchor>
                  <from>
                    <xdr:col>3</xdr:col>
                    <xdr:colOff>333375</xdr:colOff>
                    <xdr:row>15</xdr:row>
                    <xdr:rowOff>114300</xdr:rowOff>
                  </from>
                  <to>
                    <xdr:col>5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clearSummonData">
                <anchor>
                  <from>
                    <xdr:col>5</xdr:col>
                    <xdr:colOff>457200</xdr:colOff>
                    <xdr:row>15</xdr:row>
                    <xdr:rowOff>114300</xdr:rowOff>
                  </from>
                  <to>
                    <xdr:col>7</xdr:col>
                    <xdr:colOff>361950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DBA9F-DADB-4CC3-8BC4-1B8765B2D31E}">
  <sheetPr codeName="Sheet2"/>
  <dimension ref="A1:M201"/>
  <sheetViews>
    <sheetView workbookViewId="0">
      <selection activeCell="J11" sqref="J11"/>
    </sheetView>
  </sheetViews>
  <sheetFormatPr defaultRowHeight="14.25" x14ac:dyDescent="0.2"/>
  <cols>
    <col min="1" max="1" width="6.875" customWidth="1"/>
    <col min="2" max="3" width="10.25" customWidth="1"/>
    <col min="4" max="4" width="30.125" customWidth="1"/>
    <col min="12" max="12" width="11.375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29</v>
      </c>
      <c r="E1" t="s">
        <v>36</v>
      </c>
      <c r="G1" s="1" t="s">
        <v>25</v>
      </c>
      <c r="H1" s="5" t="s">
        <v>31</v>
      </c>
      <c r="I1" s="5" t="s">
        <v>5</v>
      </c>
      <c r="J1" s="1" t="s">
        <v>6</v>
      </c>
    </row>
    <row r="2" spans="1:13" x14ac:dyDescent="0.2">
      <c r="A2">
        <v>1</v>
      </c>
      <c r="B2">
        <v>1</v>
      </c>
      <c r="C2">
        <v>10</v>
      </c>
      <c r="D2" t="s">
        <v>39</v>
      </c>
      <c r="E2" s="2">
        <f>命运转轮[[#This Row],[概率权重]]/SUM(命运转轮[概率权重])</f>
        <v>1.002004008016032E-3</v>
      </c>
      <c r="G2">
        <v>1</v>
      </c>
      <c r="H2">
        <v>8</v>
      </c>
      <c r="I2">
        <v>7.8431372549019605E-4</v>
      </c>
      <c r="J2">
        <v>7.8431372549019605E-4</v>
      </c>
      <c r="L2" t="s">
        <v>35</v>
      </c>
      <c r="M2">
        <f>SUM(命运转轮[道具数量])</f>
        <v>200</v>
      </c>
    </row>
    <row r="3" spans="1:13" x14ac:dyDescent="0.2">
      <c r="A3">
        <v>2</v>
      </c>
      <c r="B3">
        <v>22</v>
      </c>
      <c r="C3">
        <v>1100</v>
      </c>
      <c r="D3" t="b">
        <v>0</v>
      </c>
      <c r="E3" s="2">
        <f>命运转轮[[#This Row],[概率权重]]/SUM(命运转轮[概率权重])</f>
        <v>0.11022044088176353</v>
      </c>
      <c r="G3">
        <v>2</v>
      </c>
      <c r="H3">
        <v>6</v>
      </c>
      <c r="I3">
        <v>5.8823529411764701E-4</v>
      </c>
      <c r="J3">
        <v>1.3725490196078429E-3</v>
      </c>
      <c r="L3" t="s">
        <v>18</v>
      </c>
      <c r="M3">
        <v>0</v>
      </c>
    </row>
    <row r="4" spans="1:13" x14ac:dyDescent="0.2">
      <c r="A4">
        <v>3</v>
      </c>
      <c r="B4">
        <v>60</v>
      </c>
      <c r="C4">
        <v>1100</v>
      </c>
      <c r="D4" t="b">
        <v>0</v>
      </c>
      <c r="E4" s="2">
        <f>命运转轮[[#This Row],[概率权重]]/SUM(命运转轮[概率权重])</f>
        <v>0.11022044088176353</v>
      </c>
      <c r="G4">
        <v>3</v>
      </c>
      <c r="H4">
        <v>9</v>
      </c>
      <c r="I4">
        <v>8.8235294117647062E-4</v>
      </c>
      <c r="J4">
        <v>2.2549019607843133E-3</v>
      </c>
      <c r="L4" t="s">
        <v>19</v>
      </c>
      <c r="M4">
        <f>SUM(H:H)</f>
        <v>10200</v>
      </c>
    </row>
    <row r="5" spans="1:13" x14ac:dyDescent="0.2">
      <c r="A5">
        <v>4</v>
      </c>
      <c r="B5">
        <v>35</v>
      </c>
      <c r="C5">
        <v>1845</v>
      </c>
      <c r="D5" t="b">
        <v>0</v>
      </c>
      <c r="E5" s="2">
        <f>命运转轮[[#This Row],[概率权重]]/SUM(命运转轮[概率权重])</f>
        <v>0.18486973947895791</v>
      </c>
      <c r="G5">
        <v>4</v>
      </c>
      <c r="H5">
        <v>9</v>
      </c>
      <c r="I5">
        <v>8.8235294117647062E-4</v>
      </c>
      <c r="J5">
        <v>3.1372549019607837E-3</v>
      </c>
      <c r="L5" t="s">
        <v>32</v>
      </c>
      <c r="M5" cm="1">
        <f t="array" ref="M5">SUM(G2:G65536*I2:I65536)</f>
        <v>151.02754901960787</v>
      </c>
    </row>
    <row r="6" spans="1:13" x14ac:dyDescent="0.2">
      <c r="A6">
        <v>5</v>
      </c>
      <c r="B6">
        <v>30</v>
      </c>
      <c r="C6">
        <v>2000</v>
      </c>
      <c r="D6" t="b">
        <v>0</v>
      </c>
      <c r="E6" s="2">
        <f>命运转轮[[#This Row],[概率权重]]/SUM(命运转轮[概率权重])</f>
        <v>0.20040080160320642</v>
      </c>
      <c r="G6">
        <v>5</v>
      </c>
      <c r="H6">
        <v>9</v>
      </c>
      <c r="I6">
        <v>8.8235294117647062E-4</v>
      </c>
      <c r="J6">
        <v>4.0196078431372542E-3</v>
      </c>
      <c r="L6" t="s">
        <v>4</v>
      </c>
      <c r="M6">
        <v>164</v>
      </c>
    </row>
    <row r="7" spans="1:13" x14ac:dyDescent="0.2">
      <c r="A7">
        <v>6</v>
      </c>
      <c r="B7">
        <v>10</v>
      </c>
      <c r="C7">
        <v>1625</v>
      </c>
      <c r="D7" t="b">
        <v>0</v>
      </c>
      <c r="E7" s="2">
        <f>命运转轮[[#This Row],[概率权重]]/SUM(命运转轮[概率权重])</f>
        <v>0.16282565130260521</v>
      </c>
      <c r="G7">
        <v>6</v>
      </c>
      <c r="H7">
        <v>10</v>
      </c>
      <c r="I7">
        <v>9.8039215686274508E-4</v>
      </c>
      <c r="J7">
        <v>4.9999999999999992E-3</v>
      </c>
    </row>
    <row r="8" spans="1:13" x14ac:dyDescent="0.2">
      <c r="A8">
        <v>7</v>
      </c>
      <c r="B8">
        <v>10</v>
      </c>
      <c r="C8">
        <v>600</v>
      </c>
      <c r="D8" t="b">
        <v>0</v>
      </c>
      <c r="E8" s="2">
        <f>命运转轮[[#This Row],[概率权重]]/SUM(命运转轮[概率权重])</f>
        <v>6.0120240480961921E-2</v>
      </c>
      <c r="G8">
        <v>7</v>
      </c>
      <c r="H8">
        <v>10</v>
      </c>
      <c r="I8">
        <v>9.8039215686274508E-4</v>
      </c>
      <c r="J8">
        <v>5.9803921568627443E-3</v>
      </c>
    </row>
    <row r="9" spans="1:13" x14ac:dyDescent="0.2">
      <c r="A9">
        <v>8</v>
      </c>
      <c r="B9">
        <v>22</v>
      </c>
      <c r="C9">
        <v>1100</v>
      </c>
      <c r="D9" t="b">
        <v>0</v>
      </c>
      <c r="E9" s="2">
        <f>命运转轮[[#This Row],[概率权重]]/SUM(命运转轮[概率权重])</f>
        <v>0.11022044088176353</v>
      </c>
      <c r="G9">
        <v>8</v>
      </c>
      <c r="H9">
        <v>11</v>
      </c>
      <c r="I9">
        <v>1.0784313725490195E-3</v>
      </c>
      <c r="J9">
        <v>7.0588235294117641E-3</v>
      </c>
    </row>
    <row r="10" spans="1:13" x14ac:dyDescent="0.2">
      <c r="A10">
        <v>9</v>
      </c>
      <c r="B10">
        <v>10</v>
      </c>
      <c r="C10">
        <v>600</v>
      </c>
      <c r="D10" t="b">
        <v>0</v>
      </c>
      <c r="E10" s="2">
        <f>命运转轮[[#This Row],[概率权重]]/SUM(命运转轮[概率权重])</f>
        <v>6.0120240480961921E-2</v>
      </c>
      <c r="G10">
        <v>9</v>
      </c>
      <c r="H10">
        <v>16</v>
      </c>
      <c r="I10">
        <v>1.5686274509803921E-3</v>
      </c>
      <c r="J10">
        <v>8.6274509803921564E-3</v>
      </c>
    </row>
    <row r="11" spans="1:13" x14ac:dyDescent="0.2">
      <c r="G11">
        <v>10</v>
      </c>
      <c r="H11">
        <v>9</v>
      </c>
      <c r="I11">
        <v>8.8235294117647062E-4</v>
      </c>
      <c r="J11">
        <v>9.5098039215686277E-3</v>
      </c>
    </row>
    <row r="12" spans="1:13" x14ac:dyDescent="0.2">
      <c r="G12">
        <v>11</v>
      </c>
      <c r="H12">
        <v>5</v>
      </c>
      <c r="I12">
        <v>4.9019607843137254E-4</v>
      </c>
      <c r="J12">
        <v>0.01</v>
      </c>
    </row>
    <row r="13" spans="1:13" x14ac:dyDescent="0.2">
      <c r="G13">
        <v>12</v>
      </c>
      <c r="H13">
        <v>8</v>
      </c>
      <c r="I13">
        <v>7.8431372549019605E-4</v>
      </c>
      <c r="J13">
        <v>1.0784313725490196E-2</v>
      </c>
    </row>
    <row r="14" spans="1:13" x14ac:dyDescent="0.2">
      <c r="G14">
        <v>13</v>
      </c>
      <c r="H14">
        <v>13</v>
      </c>
      <c r="I14">
        <v>1.2745098039215687E-3</v>
      </c>
      <c r="J14">
        <v>1.2058823529411764E-2</v>
      </c>
    </row>
    <row r="15" spans="1:13" x14ac:dyDescent="0.2">
      <c r="G15">
        <v>14</v>
      </c>
      <c r="H15">
        <v>6</v>
      </c>
      <c r="I15">
        <v>5.8823529411764701E-4</v>
      </c>
      <c r="J15">
        <v>1.2647058823529411E-2</v>
      </c>
    </row>
    <row r="16" spans="1:13" x14ac:dyDescent="0.2">
      <c r="G16">
        <v>15</v>
      </c>
      <c r="H16">
        <v>9</v>
      </c>
      <c r="I16">
        <v>8.8235294117647062E-4</v>
      </c>
      <c r="J16">
        <v>1.3529411764705882E-2</v>
      </c>
    </row>
    <row r="17" spans="2:10" x14ac:dyDescent="0.2">
      <c r="G17">
        <v>16</v>
      </c>
      <c r="H17">
        <v>11</v>
      </c>
      <c r="I17">
        <v>1.0784313725490195E-3</v>
      </c>
      <c r="J17">
        <v>1.4607843137254901E-2</v>
      </c>
    </row>
    <row r="18" spans="2:10" x14ac:dyDescent="0.2">
      <c r="G18">
        <v>17</v>
      </c>
      <c r="H18">
        <v>3</v>
      </c>
      <c r="I18">
        <v>2.941176470588235E-4</v>
      </c>
      <c r="J18">
        <v>1.4901960784313724E-2</v>
      </c>
    </row>
    <row r="19" spans="2:10" x14ac:dyDescent="0.2">
      <c r="G19">
        <v>18</v>
      </c>
      <c r="H19">
        <v>9</v>
      </c>
      <c r="I19">
        <v>8.8235294117647062E-4</v>
      </c>
      <c r="J19">
        <v>1.5784313725490193E-2</v>
      </c>
    </row>
    <row r="20" spans="2:10" x14ac:dyDescent="0.2">
      <c r="G20">
        <v>19</v>
      </c>
      <c r="H20">
        <v>7</v>
      </c>
      <c r="I20">
        <v>6.8627450980392158E-4</v>
      </c>
      <c r="J20">
        <v>1.6470588235294115E-2</v>
      </c>
    </row>
    <row r="21" spans="2:10" x14ac:dyDescent="0.2">
      <c r="G21">
        <v>20</v>
      </c>
      <c r="H21">
        <v>9</v>
      </c>
      <c r="I21">
        <v>8.8235294117647062E-4</v>
      </c>
      <c r="J21">
        <v>1.7352941176470585E-2</v>
      </c>
    </row>
    <row r="22" spans="2:10" x14ac:dyDescent="0.2">
      <c r="B22" t="s">
        <v>10</v>
      </c>
      <c r="C22" t="s">
        <v>9</v>
      </c>
      <c r="G22">
        <v>21</v>
      </c>
      <c r="H22">
        <v>9</v>
      </c>
      <c r="I22">
        <v>8.8235294117647062E-4</v>
      </c>
      <c r="J22">
        <v>1.8235294117647054E-2</v>
      </c>
    </row>
    <row r="23" spans="2:10" x14ac:dyDescent="0.2">
      <c r="B23" t="s">
        <v>3</v>
      </c>
      <c r="C23">
        <v>1000</v>
      </c>
      <c r="G23">
        <v>22</v>
      </c>
      <c r="H23">
        <v>10</v>
      </c>
      <c r="I23">
        <v>9.8039215686274508E-4</v>
      </c>
      <c r="J23">
        <v>1.9215686274509799E-2</v>
      </c>
    </row>
    <row r="24" spans="2:10" x14ac:dyDescent="0.2">
      <c r="B24" t="s">
        <v>30</v>
      </c>
      <c r="C24">
        <v>1</v>
      </c>
      <c r="G24">
        <v>23</v>
      </c>
      <c r="H24">
        <v>8</v>
      </c>
      <c r="I24">
        <v>7.8431372549019605E-4</v>
      </c>
      <c r="J24">
        <v>1.9999999999999997E-2</v>
      </c>
    </row>
    <row r="25" spans="2:10" x14ac:dyDescent="0.2">
      <c r="B25" t="s">
        <v>17</v>
      </c>
      <c r="C25" t="b">
        <v>0</v>
      </c>
      <c r="G25">
        <v>24</v>
      </c>
      <c r="H25">
        <v>11</v>
      </c>
      <c r="I25">
        <v>1.0784313725490195E-3</v>
      </c>
      <c r="J25">
        <v>2.1078431372549018E-2</v>
      </c>
    </row>
    <row r="26" spans="2:10" x14ac:dyDescent="0.2">
      <c r="G26">
        <v>25</v>
      </c>
      <c r="H26">
        <v>8</v>
      </c>
      <c r="I26">
        <v>7.8431372549019605E-4</v>
      </c>
      <c r="J26">
        <v>2.1862745098039215E-2</v>
      </c>
    </row>
    <row r="27" spans="2:10" x14ac:dyDescent="0.2">
      <c r="G27">
        <v>26</v>
      </c>
      <c r="H27">
        <v>8</v>
      </c>
      <c r="I27">
        <v>7.8431372549019605E-4</v>
      </c>
      <c r="J27">
        <v>2.2647058823529412E-2</v>
      </c>
    </row>
    <row r="28" spans="2:10" x14ac:dyDescent="0.2">
      <c r="G28">
        <v>27</v>
      </c>
      <c r="H28">
        <v>3</v>
      </c>
      <c r="I28">
        <v>2.941176470588235E-4</v>
      </c>
      <c r="J28">
        <v>2.2941176470588236E-2</v>
      </c>
    </row>
    <row r="29" spans="2:10" x14ac:dyDescent="0.2">
      <c r="G29">
        <v>28</v>
      </c>
      <c r="H29">
        <v>12</v>
      </c>
      <c r="I29">
        <v>1.176470588235294E-3</v>
      </c>
      <c r="J29">
        <v>2.4117647058823528E-2</v>
      </c>
    </row>
    <row r="30" spans="2:10" x14ac:dyDescent="0.2">
      <c r="G30">
        <v>29</v>
      </c>
      <c r="H30">
        <v>8</v>
      </c>
      <c r="I30">
        <v>7.8431372549019605E-4</v>
      </c>
      <c r="J30">
        <v>2.4901960784313726E-2</v>
      </c>
    </row>
    <row r="31" spans="2:10" x14ac:dyDescent="0.2">
      <c r="G31">
        <v>30</v>
      </c>
      <c r="H31">
        <v>13</v>
      </c>
      <c r="I31">
        <v>1.2745098039215687E-3</v>
      </c>
      <c r="J31">
        <v>2.6176470588235294E-2</v>
      </c>
    </row>
    <row r="32" spans="2:10" x14ac:dyDescent="0.2">
      <c r="G32">
        <v>31</v>
      </c>
      <c r="H32">
        <v>8</v>
      </c>
      <c r="I32">
        <v>7.8431372549019605E-4</v>
      </c>
      <c r="J32">
        <v>2.6960784313725492E-2</v>
      </c>
    </row>
    <row r="33" spans="7:10" x14ac:dyDescent="0.2">
      <c r="G33">
        <v>32</v>
      </c>
      <c r="H33">
        <v>12</v>
      </c>
      <c r="I33">
        <v>1.176470588235294E-3</v>
      </c>
      <c r="J33">
        <v>2.8137254901960784E-2</v>
      </c>
    </row>
    <row r="34" spans="7:10" x14ac:dyDescent="0.2">
      <c r="G34">
        <v>33</v>
      </c>
      <c r="H34">
        <v>9</v>
      </c>
      <c r="I34">
        <v>8.8235294117647062E-4</v>
      </c>
      <c r="J34">
        <v>2.9019607843137254E-2</v>
      </c>
    </row>
    <row r="35" spans="7:10" x14ac:dyDescent="0.2">
      <c r="G35">
        <v>34</v>
      </c>
      <c r="H35">
        <v>7</v>
      </c>
      <c r="I35">
        <v>6.8627450980392158E-4</v>
      </c>
      <c r="J35">
        <v>2.9705882352941176E-2</v>
      </c>
    </row>
    <row r="36" spans="7:10" x14ac:dyDescent="0.2">
      <c r="G36">
        <v>35</v>
      </c>
      <c r="H36">
        <v>11</v>
      </c>
      <c r="I36">
        <v>1.0784313725490195E-3</v>
      </c>
      <c r="J36">
        <v>3.0784313725490196E-2</v>
      </c>
    </row>
    <row r="37" spans="7:10" x14ac:dyDescent="0.2">
      <c r="G37">
        <v>36</v>
      </c>
      <c r="H37">
        <v>10</v>
      </c>
      <c r="I37">
        <v>9.8039215686274508E-4</v>
      </c>
      <c r="J37">
        <v>3.1764705882352945E-2</v>
      </c>
    </row>
    <row r="38" spans="7:10" x14ac:dyDescent="0.2">
      <c r="G38">
        <v>37</v>
      </c>
      <c r="H38">
        <v>19</v>
      </c>
      <c r="I38">
        <v>1.8627450980392157E-3</v>
      </c>
      <c r="J38">
        <v>3.362745098039216E-2</v>
      </c>
    </row>
    <row r="39" spans="7:10" x14ac:dyDescent="0.2">
      <c r="G39">
        <v>38</v>
      </c>
      <c r="H39">
        <v>10</v>
      </c>
      <c r="I39">
        <v>9.8039215686274508E-4</v>
      </c>
      <c r="J39">
        <v>3.4607843137254901E-2</v>
      </c>
    </row>
    <row r="40" spans="7:10" x14ac:dyDescent="0.2">
      <c r="G40">
        <v>39</v>
      </c>
      <c r="H40">
        <v>8</v>
      </c>
      <c r="I40">
        <v>7.8431372549019605E-4</v>
      </c>
      <c r="J40">
        <v>3.5392156862745099E-2</v>
      </c>
    </row>
    <row r="41" spans="7:10" x14ac:dyDescent="0.2">
      <c r="G41">
        <v>40</v>
      </c>
      <c r="H41">
        <v>9</v>
      </c>
      <c r="I41">
        <v>8.8235294117647062E-4</v>
      </c>
      <c r="J41">
        <v>3.6274509803921572E-2</v>
      </c>
    </row>
    <row r="42" spans="7:10" x14ac:dyDescent="0.2">
      <c r="G42">
        <v>41</v>
      </c>
      <c r="H42">
        <v>10</v>
      </c>
      <c r="I42">
        <v>9.8039215686274508E-4</v>
      </c>
      <c r="J42">
        <v>3.725490196078432E-2</v>
      </c>
    </row>
    <row r="43" spans="7:10" x14ac:dyDescent="0.2">
      <c r="G43">
        <v>42</v>
      </c>
      <c r="H43">
        <v>9</v>
      </c>
      <c r="I43">
        <v>8.8235294117647062E-4</v>
      </c>
      <c r="J43">
        <v>3.8137254901960793E-2</v>
      </c>
    </row>
    <row r="44" spans="7:10" x14ac:dyDescent="0.2">
      <c r="G44">
        <v>43</v>
      </c>
      <c r="H44">
        <v>8</v>
      </c>
      <c r="I44">
        <v>7.8431372549019605E-4</v>
      </c>
      <c r="J44">
        <v>3.8921568627450991E-2</v>
      </c>
    </row>
    <row r="45" spans="7:10" x14ac:dyDescent="0.2">
      <c r="G45">
        <v>44</v>
      </c>
      <c r="H45">
        <v>9</v>
      </c>
      <c r="I45">
        <v>8.8235294117647062E-4</v>
      </c>
      <c r="J45">
        <v>3.9803921568627464E-2</v>
      </c>
    </row>
    <row r="46" spans="7:10" x14ac:dyDescent="0.2">
      <c r="G46">
        <v>45</v>
      </c>
      <c r="H46">
        <v>13</v>
      </c>
      <c r="I46">
        <v>1.2745098039215687E-3</v>
      </c>
      <c r="J46">
        <v>4.1078431372549032E-2</v>
      </c>
    </row>
    <row r="47" spans="7:10" x14ac:dyDescent="0.2">
      <c r="G47">
        <v>46</v>
      </c>
      <c r="H47">
        <v>15</v>
      </c>
      <c r="I47">
        <v>1.4705882352941176E-3</v>
      </c>
      <c r="J47">
        <v>4.2549019607843151E-2</v>
      </c>
    </row>
    <row r="48" spans="7:10" x14ac:dyDescent="0.2">
      <c r="G48">
        <v>47</v>
      </c>
      <c r="H48">
        <v>4</v>
      </c>
      <c r="I48">
        <v>3.9215686274509802E-4</v>
      </c>
      <c r="J48">
        <v>4.2941176470588246E-2</v>
      </c>
    </row>
    <row r="49" spans="7:10" x14ac:dyDescent="0.2">
      <c r="G49">
        <v>48</v>
      </c>
      <c r="H49">
        <v>12</v>
      </c>
      <c r="I49">
        <v>1.176470588235294E-3</v>
      </c>
      <c r="J49">
        <v>4.4117647058823539E-2</v>
      </c>
    </row>
    <row r="50" spans="7:10" x14ac:dyDescent="0.2">
      <c r="G50">
        <v>49</v>
      </c>
      <c r="H50">
        <v>21</v>
      </c>
      <c r="I50">
        <v>2.0588235294117649E-3</v>
      </c>
      <c r="J50">
        <v>4.6176470588235305E-2</v>
      </c>
    </row>
    <row r="51" spans="7:10" x14ac:dyDescent="0.2">
      <c r="G51">
        <v>50</v>
      </c>
      <c r="H51">
        <v>15</v>
      </c>
      <c r="I51">
        <v>1.4705882352941176E-3</v>
      </c>
      <c r="J51">
        <v>4.7647058823529424E-2</v>
      </c>
    </row>
    <row r="52" spans="7:10" x14ac:dyDescent="0.2">
      <c r="G52">
        <v>51</v>
      </c>
      <c r="H52">
        <v>16</v>
      </c>
      <c r="I52">
        <v>1.5686274509803921E-3</v>
      </c>
      <c r="J52">
        <v>4.9215686274509819E-2</v>
      </c>
    </row>
    <row r="53" spans="7:10" x14ac:dyDescent="0.2">
      <c r="G53">
        <v>52</v>
      </c>
      <c r="H53">
        <v>10</v>
      </c>
      <c r="I53">
        <v>9.8039215686274508E-4</v>
      </c>
      <c r="J53">
        <v>5.0196078431372568E-2</v>
      </c>
    </row>
    <row r="54" spans="7:10" x14ac:dyDescent="0.2">
      <c r="G54">
        <v>53</v>
      </c>
      <c r="H54">
        <v>13</v>
      </c>
      <c r="I54">
        <v>1.2745098039215687E-3</v>
      </c>
      <c r="J54">
        <v>5.1470588235294136E-2</v>
      </c>
    </row>
    <row r="55" spans="7:10" x14ac:dyDescent="0.2">
      <c r="G55">
        <v>54</v>
      </c>
      <c r="H55">
        <v>11</v>
      </c>
      <c r="I55">
        <v>1.0784313725490195E-3</v>
      </c>
      <c r="J55">
        <v>5.2549019607843153E-2</v>
      </c>
    </row>
    <row r="56" spans="7:10" x14ac:dyDescent="0.2">
      <c r="G56">
        <v>55</v>
      </c>
      <c r="H56">
        <v>10</v>
      </c>
      <c r="I56">
        <v>9.8039215686274508E-4</v>
      </c>
      <c r="J56">
        <v>5.3529411764705895E-2</v>
      </c>
    </row>
    <row r="57" spans="7:10" x14ac:dyDescent="0.2">
      <c r="G57">
        <v>56</v>
      </c>
      <c r="H57">
        <v>10</v>
      </c>
      <c r="I57">
        <v>9.8039215686274508E-4</v>
      </c>
      <c r="J57">
        <v>5.4509803921568636E-2</v>
      </c>
    </row>
    <row r="58" spans="7:10" x14ac:dyDescent="0.2">
      <c r="G58">
        <v>57</v>
      </c>
      <c r="H58">
        <v>16</v>
      </c>
      <c r="I58">
        <v>1.5686274509803921E-3</v>
      </c>
      <c r="J58">
        <v>5.6078431372549031E-2</v>
      </c>
    </row>
    <row r="59" spans="7:10" x14ac:dyDescent="0.2">
      <c r="G59">
        <v>58</v>
      </c>
      <c r="H59">
        <v>18</v>
      </c>
      <c r="I59">
        <v>1.7647058823529412E-3</v>
      </c>
      <c r="J59">
        <v>5.784313725490197E-2</v>
      </c>
    </row>
    <row r="60" spans="7:10" x14ac:dyDescent="0.2">
      <c r="G60">
        <v>59</v>
      </c>
      <c r="H60">
        <v>14</v>
      </c>
      <c r="I60">
        <v>1.3725490196078432E-3</v>
      </c>
      <c r="J60">
        <v>5.9215686274509814E-2</v>
      </c>
    </row>
    <row r="61" spans="7:10" x14ac:dyDescent="0.2">
      <c r="G61">
        <v>60</v>
      </c>
      <c r="H61">
        <v>19</v>
      </c>
      <c r="I61">
        <v>1.8627450980392157E-3</v>
      </c>
      <c r="J61">
        <v>6.1078431372549029E-2</v>
      </c>
    </row>
    <row r="62" spans="7:10" x14ac:dyDescent="0.2">
      <c r="G62">
        <v>61</v>
      </c>
      <c r="H62">
        <v>11</v>
      </c>
      <c r="I62">
        <v>1.0784313725490195E-3</v>
      </c>
      <c r="J62">
        <v>6.2156862745098046E-2</v>
      </c>
    </row>
    <row r="63" spans="7:10" x14ac:dyDescent="0.2">
      <c r="G63">
        <v>62</v>
      </c>
      <c r="H63">
        <v>9</v>
      </c>
      <c r="I63">
        <v>8.8235294117647062E-4</v>
      </c>
      <c r="J63">
        <v>6.3039215686274519E-2</v>
      </c>
    </row>
    <row r="64" spans="7:10" x14ac:dyDescent="0.2">
      <c r="G64">
        <v>63</v>
      </c>
      <c r="H64">
        <v>16</v>
      </c>
      <c r="I64">
        <v>1.5686274509803921E-3</v>
      </c>
      <c r="J64">
        <v>6.4607843137254914E-2</v>
      </c>
    </row>
    <row r="65" spans="7:10" x14ac:dyDescent="0.2">
      <c r="G65">
        <v>64</v>
      </c>
      <c r="H65">
        <v>17</v>
      </c>
      <c r="I65">
        <v>1.6666666666666668E-3</v>
      </c>
      <c r="J65">
        <v>6.6274509803921577E-2</v>
      </c>
    </row>
    <row r="66" spans="7:10" x14ac:dyDescent="0.2">
      <c r="G66">
        <v>65</v>
      </c>
      <c r="H66">
        <v>15</v>
      </c>
      <c r="I66">
        <v>1.4705882352941176E-3</v>
      </c>
      <c r="J66">
        <v>6.774509803921569E-2</v>
      </c>
    </row>
    <row r="67" spans="7:10" x14ac:dyDescent="0.2">
      <c r="G67">
        <v>66</v>
      </c>
      <c r="H67">
        <v>12</v>
      </c>
      <c r="I67">
        <v>1.176470588235294E-3</v>
      </c>
      <c r="J67">
        <v>6.8921568627450983E-2</v>
      </c>
    </row>
    <row r="68" spans="7:10" x14ac:dyDescent="0.2">
      <c r="G68">
        <v>67</v>
      </c>
      <c r="H68">
        <v>10</v>
      </c>
      <c r="I68">
        <v>9.8039215686274508E-4</v>
      </c>
      <c r="J68">
        <v>6.9901960784313724E-2</v>
      </c>
    </row>
    <row r="69" spans="7:10" x14ac:dyDescent="0.2">
      <c r="G69">
        <v>68</v>
      </c>
      <c r="H69">
        <v>12</v>
      </c>
      <c r="I69">
        <v>1.176470588235294E-3</v>
      </c>
      <c r="J69">
        <v>7.1078431372549017E-2</v>
      </c>
    </row>
    <row r="70" spans="7:10" x14ac:dyDescent="0.2">
      <c r="G70">
        <v>69</v>
      </c>
      <c r="H70">
        <v>11</v>
      </c>
      <c r="I70">
        <v>1.0784313725490195E-3</v>
      </c>
      <c r="J70">
        <v>7.2156862745098041E-2</v>
      </c>
    </row>
    <row r="71" spans="7:10" x14ac:dyDescent="0.2">
      <c r="G71">
        <v>70</v>
      </c>
      <c r="H71">
        <v>13</v>
      </c>
      <c r="I71">
        <v>1.2745098039215687E-3</v>
      </c>
      <c r="J71">
        <v>7.3431372549019616E-2</v>
      </c>
    </row>
    <row r="72" spans="7:10" x14ac:dyDescent="0.2">
      <c r="G72">
        <v>71</v>
      </c>
      <c r="H72">
        <v>11</v>
      </c>
      <c r="I72">
        <v>1.0784313725490195E-3</v>
      </c>
      <c r="J72">
        <v>7.450980392156864E-2</v>
      </c>
    </row>
    <row r="73" spans="7:10" x14ac:dyDescent="0.2">
      <c r="G73">
        <v>72</v>
      </c>
      <c r="H73">
        <v>13</v>
      </c>
      <c r="I73">
        <v>1.2745098039215687E-3</v>
      </c>
      <c r="J73">
        <v>7.5784313725490215E-2</v>
      </c>
    </row>
    <row r="74" spans="7:10" x14ac:dyDescent="0.2">
      <c r="G74">
        <v>73</v>
      </c>
      <c r="H74">
        <v>13</v>
      </c>
      <c r="I74">
        <v>1.2745098039215687E-3</v>
      </c>
      <c r="J74">
        <v>7.7058823529411791E-2</v>
      </c>
    </row>
    <row r="75" spans="7:10" x14ac:dyDescent="0.2">
      <c r="G75">
        <v>74</v>
      </c>
      <c r="H75">
        <v>8</v>
      </c>
      <c r="I75">
        <v>7.8431372549019605E-4</v>
      </c>
      <c r="J75">
        <v>7.7843137254901981E-2</v>
      </c>
    </row>
    <row r="76" spans="7:10" x14ac:dyDescent="0.2">
      <c r="G76">
        <v>75</v>
      </c>
      <c r="H76">
        <v>5</v>
      </c>
      <c r="I76">
        <v>4.9019607843137254E-4</v>
      </c>
      <c r="J76">
        <v>7.8333333333333352E-2</v>
      </c>
    </row>
    <row r="77" spans="7:10" x14ac:dyDescent="0.2">
      <c r="G77">
        <v>76</v>
      </c>
      <c r="H77">
        <v>18</v>
      </c>
      <c r="I77">
        <v>1.7647058823529412E-3</v>
      </c>
      <c r="J77">
        <v>8.0098039215686298E-2</v>
      </c>
    </row>
    <row r="78" spans="7:10" x14ac:dyDescent="0.2">
      <c r="G78">
        <v>77</v>
      </c>
      <c r="H78">
        <v>20</v>
      </c>
      <c r="I78">
        <v>1.9607843137254902E-3</v>
      </c>
      <c r="J78">
        <v>8.2058823529411795E-2</v>
      </c>
    </row>
    <row r="79" spans="7:10" x14ac:dyDescent="0.2">
      <c r="G79">
        <v>78</v>
      </c>
      <c r="H79">
        <v>16</v>
      </c>
      <c r="I79">
        <v>1.5686274509803921E-3</v>
      </c>
      <c r="J79">
        <v>8.362745098039219E-2</v>
      </c>
    </row>
    <row r="80" spans="7:10" x14ac:dyDescent="0.2">
      <c r="G80">
        <v>79</v>
      </c>
      <c r="H80">
        <v>13</v>
      </c>
      <c r="I80">
        <v>1.2745098039215687E-3</v>
      </c>
      <c r="J80">
        <v>8.4901960784313765E-2</v>
      </c>
    </row>
    <row r="81" spans="7:10" x14ac:dyDescent="0.2">
      <c r="G81">
        <v>80</v>
      </c>
      <c r="H81">
        <v>11</v>
      </c>
      <c r="I81">
        <v>1.0784313725490195E-3</v>
      </c>
      <c r="J81">
        <v>8.5980392156862789E-2</v>
      </c>
    </row>
    <row r="82" spans="7:10" x14ac:dyDescent="0.2">
      <c r="G82">
        <v>81</v>
      </c>
      <c r="H82">
        <v>10</v>
      </c>
      <c r="I82">
        <v>9.8039215686274508E-4</v>
      </c>
      <c r="J82">
        <v>8.6960784313725531E-2</v>
      </c>
    </row>
    <row r="83" spans="7:10" x14ac:dyDescent="0.2">
      <c r="G83">
        <v>82</v>
      </c>
      <c r="H83">
        <v>13</v>
      </c>
      <c r="I83">
        <v>1.2745098039215687E-3</v>
      </c>
      <c r="J83">
        <v>8.8235294117647106E-2</v>
      </c>
    </row>
    <row r="84" spans="7:10" x14ac:dyDescent="0.2">
      <c r="G84">
        <v>83</v>
      </c>
      <c r="H84">
        <v>12</v>
      </c>
      <c r="I84">
        <v>1.176470588235294E-3</v>
      </c>
      <c r="J84">
        <v>8.9411764705882399E-2</v>
      </c>
    </row>
    <row r="85" spans="7:10" x14ac:dyDescent="0.2">
      <c r="G85">
        <v>84</v>
      </c>
      <c r="H85">
        <v>11</v>
      </c>
      <c r="I85">
        <v>1.0784313725490195E-3</v>
      </c>
      <c r="J85">
        <v>9.0490196078431423E-2</v>
      </c>
    </row>
    <row r="86" spans="7:10" x14ac:dyDescent="0.2">
      <c r="G86">
        <v>85</v>
      </c>
      <c r="H86">
        <v>10</v>
      </c>
      <c r="I86">
        <v>9.8039215686274508E-4</v>
      </c>
      <c r="J86">
        <v>9.1470588235294165E-2</v>
      </c>
    </row>
    <row r="87" spans="7:10" x14ac:dyDescent="0.2">
      <c r="G87">
        <v>86</v>
      </c>
      <c r="H87">
        <v>18</v>
      </c>
      <c r="I87">
        <v>1.7647058823529412E-3</v>
      </c>
      <c r="J87">
        <v>9.3235294117647111E-2</v>
      </c>
    </row>
    <row r="88" spans="7:10" x14ac:dyDescent="0.2">
      <c r="G88">
        <v>87</v>
      </c>
      <c r="H88">
        <v>12</v>
      </c>
      <c r="I88">
        <v>1.176470588235294E-3</v>
      </c>
      <c r="J88">
        <v>9.4411764705882403E-2</v>
      </c>
    </row>
    <row r="89" spans="7:10" x14ac:dyDescent="0.2">
      <c r="G89">
        <v>88</v>
      </c>
      <c r="H89">
        <v>9</v>
      </c>
      <c r="I89">
        <v>8.8235294117647062E-4</v>
      </c>
      <c r="J89">
        <v>9.5294117647058876E-2</v>
      </c>
    </row>
    <row r="90" spans="7:10" x14ac:dyDescent="0.2">
      <c r="G90">
        <v>89</v>
      </c>
      <c r="H90">
        <v>8</v>
      </c>
      <c r="I90">
        <v>7.8431372549019605E-4</v>
      </c>
      <c r="J90">
        <v>9.6078431372549067E-2</v>
      </c>
    </row>
    <row r="91" spans="7:10" x14ac:dyDescent="0.2">
      <c r="G91">
        <v>90</v>
      </c>
      <c r="H91">
        <v>10</v>
      </c>
      <c r="I91">
        <v>9.8039215686274508E-4</v>
      </c>
      <c r="J91">
        <v>9.7058823529411808E-2</v>
      </c>
    </row>
    <row r="92" spans="7:10" x14ac:dyDescent="0.2">
      <c r="G92">
        <v>91</v>
      </c>
      <c r="H92">
        <v>6</v>
      </c>
      <c r="I92">
        <v>5.8823529411764701E-4</v>
      </c>
      <c r="J92">
        <v>9.7647058823529462E-2</v>
      </c>
    </row>
    <row r="93" spans="7:10" x14ac:dyDescent="0.2">
      <c r="G93">
        <v>92</v>
      </c>
      <c r="H93">
        <v>7</v>
      </c>
      <c r="I93">
        <v>6.8627450980392158E-4</v>
      </c>
      <c r="J93">
        <v>9.8333333333333384E-2</v>
      </c>
    </row>
    <row r="94" spans="7:10" x14ac:dyDescent="0.2">
      <c r="G94">
        <v>93</v>
      </c>
      <c r="H94">
        <v>8</v>
      </c>
      <c r="I94">
        <v>7.8431372549019605E-4</v>
      </c>
      <c r="J94">
        <v>9.9117647058823574E-2</v>
      </c>
    </row>
    <row r="95" spans="7:10" x14ac:dyDescent="0.2">
      <c r="G95">
        <v>94</v>
      </c>
      <c r="H95">
        <v>11</v>
      </c>
      <c r="I95">
        <v>1.0784313725490195E-3</v>
      </c>
      <c r="J95">
        <v>0.1001960784313726</v>
      </c>
    </row>
    <row r="96" spans="7:10" x14ac:dyDescent="0.2">
      <c r="G96">
        <v>95</v>
      </c>
      <c r="H96">
        <v>15</v>
      </c>
      <c r="I96">
        <v>1.4705882352941176E-3</v>
      </c>
      <c r="J96">
        <v>0.10166666666666671</v>
      </c>
    </row>
    <row r="97" spans="7:10" x14ac:dyDescent="0.2">
      <c r="G97">
        <v>96</v>
      </c>
      <c r="H97">
        <v>9</v>
      </c>
      <c r="I97">
        <v>8.8235294117647062E-4</v>
      </c>
      <c r="J97">
        <v>0.10254901960784318</v>
      </c>
    </row>
    <row r="98" spans="7:10" x14ac:dyDescent="0.2">
      <c r="G98">
        <v>97</v>
      </c>
      <c r="H98">
        <v>10</v>
      </c>
      <c r="I98">
        <v>9.8039215686274508E-4</v>
      </c>
      <c r="J98">
        <v>0.10352941176470593</v>
      </c>
    </row>
    <row r="99" spans="7:10" x14ac:dyDescent="0.2">
      <c r="G99">
        <v>98</v>
      </c>
      <c r="H99">
        <v>11</v>
      </c>
      <c r="I99">
        <v>1.0784313725490195E-3</v>
      </c>
      <c r="J99">
        <v>0.10460784313725495</v>
      </c>
    </row>
    <row r="100" spans="7:10" x14ac:dyDescent="0.2">
      <c r="G100">
        <v>99</v>
      </c>
      <c r="H100">
        <v>8</v>
      </c>
      <c r="I100">
        <v>7.8431372549019605E-4</v>
      </c>
      <c r="J100">
        <v>0.10539215686274514</v>
      </c>
    </row>
    <row r="101" spans="7:10" x14ac:dyDescent="0.2">
      <c r="G101">
        <v>100</v>
      </c>
      <c r="H101">
        <v>9</v>
      </c>
      <c r="I101">
        <v>8.8235294117647062E-4</v>
      </c>
      <c r="J101">
        <v>0.10627450980392161</v>
      </c>
    </row>
    <row r="102" spans="7:10" x14ac:dyDescent="0.2">
      <c r="G102">
        <v>101</v>
      </c>
      <c r="H102">
        <v>12</v>
      </c>
      <c r="I102">
        <v>1.176470588235294E-3</v>
      </c>
      <c r="J102">
        <v>0.10745098039215691</v>
      </c>
    </row>
    <row r="103" spans="7:10" x14ac:dyDescent="0.2">
      <c r="G103">
        <v>102</v>
      </c>
      <c r="H103">
        <v>9</v>
      </c>
      <c r="I103">
        <v>8.8235294117647062E-4</v>
      </c>
      <c r="J103">
        <v>0.10833333333333338</v>
      </c>
    </row>
    <row r="104" spans="7:10" x14ac:dyDescent="0.2">
      <c r="G104">
        <v>103</v>
      </c>
      <c r="H104">
        <v>10</v>
      </c>
      <c r="I104">
        <v>9.8039215686274508E-4</v>
      </c>
      <c r="J104">
        <v>0.10931372549019612</v>
      </c>
    </row>
    <row r="105" spans="7:10" x14ac:dyDescent="0.2">
      <c r="G105">
        <v>104</v>
      </c>
      <c r="H105">
        <v>13</v>
      </c>
      <c r="I105">
        <v>1.2745098039215687E-3</v>
      </c>
      <c r="J105">
        <v>0.1105882352941177</v>
      </c>
    </row>
    <row r="106" spans="7:10" x14ac:dyDescent="0.2">
      <c r="G106">
        <v>105</v>
      </c>
      <c r="H106">
        <v>12</v>
      </c>
      <c r="I106">
        <v>1.176470588235294E-3</v>
      </c>
      <c r="J106">
        <v>0.11176470588235299</v>
      </c>
    </row>
    <row r="107" spans="7:10" x14ac:dyDescent="0.2">
      <c r="G107">
        <v>106</v>
      </c>
      <c r="H107">
        <v>18</v>
      </c>
      <c r="I107">
        <v>1.7647058823529412E-3</v>
      </c>
      <c r="J107">
        <v>0.11352941176470593</v>
      </c>
    </row>
    <row r="108" spans="7:10" x14ac:dyDescent="0.2">
      <c r="G108">
        <v>107</v>
      </c>
      <c r="H108">
        <v>17</v>
      </c>
      <c r="I108">
        <v>1.6666666666666668E-3</v>
      </c>
      <c r="J108">
        <v>0.1151960784313726</v>
      </c>
    </row>
    <row r="109" spans="7:10" x14ac:dyDescent="0.2">
      <c r="G109">
        <v>108</v>
      </c>
      <c r="H109">
        <v>13</v>
      </c>
      <c r="I109">
        <v>1.2745098039215687E-3</v>
      </c>
      <c r="J109">
        <v>0.11647058823529417</v>
      </c>
    </row>
    <row r="110" spans="7:10" x14ac:dyDescent="0.2">
      <c r="G110">
        <v>109</v>
      </c>
      <c r="H110">
        <v>15</v>
      </c>
      <c r="I110">
        <v>1.4705882352941176E-3</v>
      </c>
      <c r="J110">
        <v>0.11794117647058829</v>
      </c>
    </row>
    <row r="111" spans="7:10" x14ac:dyDescent="0.2">
      <c r="G111">
        <v>110</v>
      </c>
      <c r="H111">
        <v>11</v>
      </c>
      <c r="I111">
        <v>1.0784313725490195E-3</v>
      </c>
      <c r="J111">
        <v>0.11901960784313731</v>
      </c>
    </row>
    <row r="112" spans="7:10" x14ac:dyDescent="0.2">
      <c r="G112">
        <v>111</v>
      </c>
      <c r="H112">
        <v>9</v>
      </c>
      <c r="I112">
        <v>8.8235294117647062E-4</v>
      </c>
      <c r="J112">
        <v>0.11990196078431378</v>
      </c>
    </row>
    <row r="113" spans="7:10" x14ac:dyDescent="0.2">
      <c r="G113">
        <v>112</v>
      </c>
      <c r="H113">
        <v>13</v>
      </c>
      <c r="I113">
        <v>1.2745098039215687E-3</v>
      </c>
      <c r="J113">
        <v>0.12117647058823536</v>
      </c>
    </row>
    <row r="114" spans="7:10" x14ac:dyDescent="0.2">
      <c r="G114">
        <v>113</v>
      </c>
      <c r="H114">
        <v>9</v>
      </c>
      <c r="I114">
        <v>8.8235294117647062E-4</v>
      </c>
      <c r="J114">
        <v>0.12205882352941183</v>
      </c>
    </row>
    <row r="115" spans="7:10" x14ac:dyDescent="0.2">
      <c r="G115">
        <v>114</v>
      </c>
      <c r="H115">
        <v>11</v>
      </c>
      <c r="I115">
        <v>1.0784313725490195E-3</v>
      </c>
      <c r="J115">
        <v>0.12313725490196085</v>
      </c>
    </row>
    <row r="116" spans="7:10" x14ac:dyDescent="0.2">
      <c r="G116">
        <v>115</v>
      </c>
      <c r="H116">
        <v>8</v>
      </c>
      <c r="I116">
        <v>7.8431372549019605E-4</v>
      </c>
      <c r="J116">
        <v>0.12392156862745105</v>
      </c>
    </row>
    <row r="117" spans="7:10" x14ac:dyDescent="0.2">
      <c r="G117">
        <v>116</v>
      </c>
      <c r="H117">
        <v>19</v>
      </c>
      <c r="I117">
        <v>1.8627450980392157E-3</v>
      </c>
      <c r="J117">
        <v>0.12578431372549026</v>
      </c>
    </row>
    <row r="118" spans="7:10" x14ac:dyDescent="0.2">
      <c r="G118">
        <v>117</v>
      </c>
      <c r="H118">
        <v>10</v>
      </c>
      <c r="I118">
        <v>9.8039215686274508E-4</v>
      </c>
      <c r="J118">
        <v>0.126764705882353</v>
      </c>
    </row>
    <row r="119" spans="7:10" x14ac:dyDescent="0.2">
      <c r="G119">
        <v>118</v>
      </c>
      <c r="H119">
        <v>14</v>
      </c>
      <c r="I119">
        <v>1.3725490196078432E-3</v>
      </c>
      <c r="J119">
        <v>0.12813725490196085</v>
      </c>
    </row>
    <row r="120" spans="7:10" x14ac:dyDescent="0.2">
      <c r="G120">
        <v>119</v>
      </c>
      <c r="H120">
        <v>9</v>
      </c>
      <c r="I120">
        <v>8.8235294117647062E-4</v>
      </c>
      <c r="J120">
        <v>0.12901960784313732</v>
      </c>
    </row>
    <row r="121" spans="7:10" x14ac:dyDescent="0.2">
      <c r="G121">
        <v>120</v>
      </c>
      <c r="H121">
        <v>15</v>
      </c>
      <c r="I121">
        <v>1.4705882352941176E-3</v>
      </c>
      <c r="J121">
        <v>0.13049019607843143</v>
      </c>
    </row>
    <row r="122" spans="7:10" x14ac:dyDescent="0.2">
      <c r="G122">
        <v>121</v>
      </c>
      <c r="H122">
        <v>12</v>
      </c>
      <c r="I122">
        <v>1.176470588235294E-3</v>
      </c>
      <c r="J122">
        <v>0.13166666666666674</v>
      </c>
    </row>
    <row r="123" spans="7:10" x14ac:dyDescent="0.2">
      <c r="G123">
        <v>122</v>
      </c>
      <c r="H123">
        <v>13</v>
      </c>
      <c r="I123">
        <v>1.2745098039215687E-3</v>
      </c>
      <c r="J123">
        <v>0.13294117647058831</v>
      </c>
    </row>
    <row r="124" spans="7:10" x14ac:dyDescent="0.2">
      <c r="G124">
        <v>123</v>
      </c>
      <c r="H124">
        <v>10</v>
      </c>
      <c r="I124">
        <v>9.8039215686274508E-4</v>
      </c>
      <c r="J124">
        <v>0.13392156862745105</v>
      </c>
    </row>
    <row r="125" spans="7:10" x14ac:dyDescent="0.2">
      <c r="G125">
        <v>124</v>
      </c>
      <c r="H125">
        <v>12</v>
      </c>
      <c r="I125">
        <v>1.176470588235294E-3</v>
      </c>
      <c r="J125">
        <v>0.13509803921568636</v>
      </c>
    </row>
    <row r="126" spans="7:10" x14ac:dyDescent="0.2">
      <c r="G126">
        <v>125</v>
      </c>
      <c r="H126">
        <v>11</v>
      </c>
      <c r="I126">
        <v>1.0784313725490195E-3</v>
      </c>
      <c r="J126">
        <v>0.13617647058823537</v>
      </c>
    </row>
    <row r="127" spans="7:10" x14ac:dyDescent="0.2">
      <c r="G127">
        <v>126</v>
      </c>
      <c r="H127">
        <v>22</v>
      </c>
      <c r="I127">
        <v>2.1568627450980391E-3</v>
      </c>
      <c r="J127">
        <v>0.13833333333333342</v>
      </c>
    </row>
    <row r="128" spans="7:10" x14ac:dyDescent="0.2">
      <c r="G128">
        <v>127</v>
      </c>
      <c r="H128">
        <v>21</v>
      </c>
      <c r="I128">
        <v>2.0588235294117649E-3</v>
      </c>
      <c r="J128">
        <v>0.14039215686274517</v>
      </c>
    </row>
    <row r="129" spans="7:10" x14ac:dyDescent="0.2">
      <c r="G129">
        <v>128</v>
      </c>
      <c r="H129">
        <v>23</v>
      </c>
      <c r="I129">
        <v>2.2549019607843138E-3</v>
      </c>
      <c r="J129">
        <v>0.14264705882352949</v>
      </c>
    </row>
    <row r="130" spans="7:10" x14ac:dyDescent="0.2">
      <c r="G130">
        <v>129</v>
      </c>
      <c r="H130">
        <v>8</v>
      </c>
      <c r="I130">
        <v>7.8431372549019605E-4</v>
      </c>
      <c r="J130">
        <v>0.14343137254901969</v>
      </c>
    </row>
    <row r="131" spans="7:10" x14ac:dyDescent="0.2">
      <c r="G131">
        <v>130</v>
      </c>
      <c r="H131">
        <v>66</v>
      </c>
      <c r="I131">
        <v>6.4705882352941177E-3</v>
      </c>
      <c r="J131">
        <v>0.14990196078431381</v>
      </c>
    </row>
    <row r="132" spans="7:10" x14ac:dyDescent="0.2">
      <c r="G132">
        <v>131</v>
      </c>
      <c r="H132">
        <v>69</v>
      </c>
      <c r="I132">
        <v>6.7647058823529409E-3</v>
      </c>
      <c r="J132">
        <v>0.15666666666666676</v>
      </c>
    </row>
    <row r="133" spans="7:10" x14ac:dyDescent="0.2">
      <c r="G133">
        <v>132</v>
      </c>
      <c r="H133">
        <v>70</v>
      </c>
      <c r="I133">
        <v>6.8627450980392156E-3</v>
      </c>
      <c r="J133">
        <v>0.16352941176470598</v>
      </c>
    </row>
    <row r="134" spans="7:10" x14ac:dyDescent="0.2">
      <c r="G134">
        <v>133</v>
      </c>
      <c r="H134">
        <v>75</v>
      </c>
      <c r="I134">
        <v>7.3529411764705881E-3</v>
      </c>
      <c r="J134">
        <v>0.17088235294117657</v>
      </c>
    </row>
    <row r="135" spans="7:10" x14ac:dyDescent="0.2">
      <c r="G135">
        <v>134</v>
      </c>
      <c r="H135">
        <v>73</v>
      </c>
      <c r="I135">
        <v>7.1568627450980396E-3</v>
      </c>
      <c r="J135">
        <v>0.17803921568627462</v>
      </c>
    </row>
    <row r="136" spans="7:10" x14ac:dyDescent="0.2">
      <c r="G136">
        <v>135</v>
      </c>
      <c r="H136">
        <v>54</v>
      </c>
      <c r="I136">
        <v>5.2941176470588233E-3</v>
      </c>
      <c r="J136">
        <v>0.18333333333333343</v>
      </c>
    </row>
    <row r="137" spans="7:10" x14ac:dyDescent="0.2">
      <c r="G137">
        <v>136</v>
      </c>
      <c r="H137">
        <v>59</v>
      </c>
      <c r="I137">
        <v>5.7843137254901958E-3</v>
      </c>
      <c r="J137">
        <v>0.18911764705882364</v>
      </c>
    </row>
    <row r="138" spans="7:10" x14ac:dyDescent="0.2">
      <c r="G138">
        <v>137</v>
      </c>
      <c r="H138">
        <v>72</v>
      </c>
      <c r="I138">
        <v>7.058823529411765E-3</v>
      </c>
      <c r="J138">
        <v>0.1961764705882354</v>
      </c>
    </row>
    <row r="139" spans="7:10" x14ac:dyDescent="0.2">
      <c r="G139">
        <v>138</v>
      </c>
      <c r="H139">
        <v>82</v>
      </c>
      <c r="I139">
        <v>8.03921568627451E-3</v>
      </c>
      <c r="J139">
        <v>0.20421568627450989</v>
      </c>
    </row>
    <row r="140" spans="7:10" x14ac:dyDescent="0.2">
      <c r="G140">
        <v>139</v>
      </c>
      <c r="H140">
        <v>87</v>
      </c>
      <c r="I140">
        <v>8.5294117647058826E-3</v>
      </c>
      <c r="J140">
        <v>0.21274509803921576</v>
      </c>
    </row>
    <row r="141" spans="7:10" x14ac:dyDescent="0.2">
      <c r="G141">
        <v>140</v>
      </c>
      <c r="H141">
        <v>59</v>
      </c>
      <c r="I141">
        <v>5.7843137254901958E-3</v>
      </c>
      <c r="J141">
        <v>0.21852941176470597</v>
      </c>
    </row>
    <row r="142" spans="7:10" x14ac:dyDescent="0.2">
      <c r="G142">
        <v>141</v>
      </c>
      <c r="H142">
        <v>77</v>
      </c>
      <c r="I142">
        <v>7.5490196078431375E-3</v>
      </c>
      <c r="J142">
        <v>0.2260784313725491</v>
      </c>
    </row>
    <row r="143" spans="7:10" x14ac:dyDescent="0.2">
      <c r="G143">
        <v>142</v>
      </c>
      <c r="H143">
        <v>64</v>
      </c>
      <c r="I143">
        <v>6.2745098039215684E-3</v>
      </c>
      <c r="J143">
        <v>0.23235294117647068</v>
      </c>
    </row>
    <row r="144" spans="7:10" x14ac:dyDescent="0.2">
      <c r="G144">
        <v>143</v>
      </c>
      <c r="H144">
        <v>82</v>
      </c>
      <c r="I144">
        <v>8.03921568627451E-3</v>
      </c>
      <c r="J144">
        <v>0.24039215686274518</v>
      </c>
    </row>
    <row r="145" spans="7:10" x14ac:dyDescent="0.2">
      <c r="G145">
        <v>144</v>
      </c>
      <c r="H145">
        <v>73</v>
      </c>
      <c r="I145">
        <v>7.1568627450980396E-3</v>
      </c>
      <c r="J145">
        <v>0.24754901960784323</v>
      </c>
    </row>
    <row r="146" spans="7:10" x14ac:dyDescent="0.2">
      <c r="G146">
        <v>145</v>
      </c>
      <c r="H146">
        <v>59</v>
      </c>
      <c r="I146">
        <v>5.7843137254901958E-3</v>
      </c>
      <c r="J146">
        <v>0.25333333333333341</v>
      </c>
    </row>
    <row r="147" spans="7:10" x14ac:dyDescent="0.2">
      <c r="G147">
        <v>146</v>
      </c>
      <c r="H147">
        <v>73</v>
      </c>
      <c r="I147">
        <v>7.1568627450980396E-3</v>
      </c>
      <c r="J147">
        <v>0.26049019607843144</v>
      </c>
    </row>
    <row r="148" spans="7:10" x14ac:dyDescent="0.2">
      <c r="G148">
        <v>147</v>
      </c>
      <c r="H148">
        <v>81</v>
      </c>
      <c r="I148">
        <v>7.9411764705882345E-3</v>
      </c>
      <c r="J148">
        <v>0.26843137254901966</v>
      </c>
    </row>
    <row r="149" spans="7:10" x14ac:dyDescent="0.2">
      <c r="G149">
        <v>148</v>
      </c>
      <c r="H149">
        <v>85</v>
      </c>
      <c r="I149">
        <v>8.3333333333333332E-3</v>
      </c>
      <c r="J149">
        <v>0.27676470588235302</v>
      </c>
    </row>
    <row r="150" spans="7:10" x14ac:dyDescent="0.2">
      <c r="G150">
        <v>149</v>
      </c>
      <c r="H150">
        <v>91</v>
      </c>
      <c r="I150">
        <v>8.9215686274509796E-3</v>
      </c>
      <c r="J150">
        <v>0.28568627450980399</v>
      </c>
    </row>
    <row r="151" spans="7:10" x14ac:dyDescent="0.2">
      <c r="G151">
        <v>150</v>
      </c>
      <c r="H151">
        <v>81</v>
      </c>
      <c r="I151">
        <v>7.9411764705882345E-3</v>
      </c>
      <c r="J151">
        <v>0.29362745098039222</v>
      </c>
    </row>
    <row r="152" spans="7:10" x14ac:dyDescent="0.2">
      <c r="G152">
        <v>151</v>
      </c>
      <c r="H152">
        <v>89</v>
      </c>
      <c r="I152">
        <v>8.7254901960784319E-3</v>
      </c>
      <c r="J152">
        <v>0.30235294117647066</v>
      </c>
    </row>
    <row r="153" spans="7:10" x14ac:dyDescent="0.2">
      <c r="G153">
        <v>152</v>
      </c>
      <c r="H153">
        <v>109</v>
      </c>
      <c r="I153">
        <v>1.0686274509803922E-2</v>
      </c>
      <c r="J153">
        <v>0.31303921568627457</v>
      </c>
    </row>
    <row r="154" spans="7:10" x14ac:dyDescent="0.2">
      <c r="G154">
        <v>153</v>
      </c>
      <c r="H154">
        <v>99</v>
      </c>
      <c r="I154">
        <v>9.705882352941177E-3</v>
      </c>
      <c r="J154">
        <v>0.32274509803921575</v>
      </c>
    </row>
    <row r="155" spans="7:10" x14ac:dyDescent="0.2">
      <c r="G155">
        <v>154</v>
      </c>
      <c r="H155">
        <v>90</v>
      </c>
      <c r="I155">
        <v>8.8235294117647058E-3</v>
      </c>
      <c r="J155">
        <v>0.33156862745098048</v>
      </c>
    </row>
    <row r="156" spans="7:10" x14ac:dyDescent="0.2">
      <c r="G156">
        <v>155</v>
      </c>
      <c r="H156">
        <v>98</v>
      </c>
      <c r="I156">
        <v>9.6078431372549015E-3</v>
      </c>
      <c r="J156">
        <v>0.34117647058823536</v>
      </c>
    </row>
    <row r="157" spans="7:10" x14ac:dyDescent="0.2">
      <c r="G157">
        <v>156</v>
      </c>
      <c r="H157">
        <v>110</v>
      </c>
      <c r="I157">
        <v>1.0784313725490196E-2</v>
      </c>
      <c r="J157">
        <v>0.35196078431372557</v>
      </c>
    </row>
    <row r="158" spans="7:10" x14ac:dyDescent="0.2">
      <c r="G158">
        <v>157</v>
      </c>
      <c r="H158">
        <v>106</v>
      </c>
      <c r="I158">
        <v>1.0392156862745097E-2</v>
      </c>
      <c r="J158">
        <v>0.36235294117647066</v>
      </c>
    </row>
    <row r="159" spans="7:10" x14ac:dyDescent="0.2">
      <c r="G159">
        <v>158</v>
      </c>
      <c r="H159">
        <v>130</v>
      </c>
      <c r="I159">
        <v>1.2745098039215686E-2</v>
      </c>
      <c r="J159">
        <v>0.37509803921568635</v>
      </c>
    </row>
    <row r="160" spans="7:10" x14ac:dyDescent="0.2">
      <c r="G160">
        <v>159</v>
      </c>
      <c r="H160">
        <v>126</v>
      </c>
      <c r="I160">
        <v>1.2352941176470587E-2</v>
      </c>
      <c r="J160">
        <v>0.38745098039215692</v>
      </c>
    </row>
    <row r="161" spans="7:10" x14ac:dyDescent="0.2">
      <c r="G161">
        <v>160</v>
      </c>
      <c r="H161">
        <v>267</v>
      </c>
      <c r="I161">
        <v>2.6176470588235294E-2</v>
      </c>
      <c r="J161">
        <v>0.41362745098039222</v>
      </c>
    </row>
    <row r="162" spans="7:10" x14ac:dyDescent="0.2">
      <c r="G162">
        <v>161</v>
      </c>
      <c r="H162">
        <v>268</v>
      </c>
      <c r="I162">
        <v>2.627450980392157E-2</v>
      </c>
      <c r="J162">
        <v>0.43990196078431376</v>
      </c>
    </row>
    <row r="163" spans="7:10" x14ac:dyDescent="0.2">
      <c r="G163">
        <v>162</v>
      </c>
      <c r="H163">
        <v>323</v>
      </c>
      <c r="I163">
        <v>3.1666666666666669E-2</v>
      </c>
      <c r="J163">
        <v>0.47156862745098044</v>
      </c>
    </row>
    <row r="164" spans="7:10" x14ac:dyDescent="0.2">
      <c r="G164">
        <v>163</v>
      </c>
      <c r="H164">
        <v>248</v>
      </c>
      <c r="I164">
        <v>2.4313725490196079E-2</v>
      </c>
      <c r="J164">
        <v>0.4958823529411765</v>
      </c>
    </row>
    <row r="165" spans="7:10" x14ac:dyDescent="0.2">
      <c r="G165">
        <v>164</v>
      </c>
      <c r="H165">
        <v>296</v>
      </c>
      <c r="I165">
        <v>2.9019607843137254E-2</v>
      </c>
      <c r="J165">
        <v>0.52490196078431373</v>
      </c>
    </row>
    <row r="166" spans="7:10" x14ac:dyDescent="0.2">
      <c r="G166">
        <v>165</v>
      </c>
      <c r="H166">
        <v>278</v>
      </c>
      <c r="I166">
        <v>2.7254901960784315E-2</v>
      </c>
      <c r="J166">
        <v>0.55215686274509801</v>
      </c>
    </row>
    <row r="167" spans="7:10" x14ac:dyDescent="0.2">
      <c r="G167">
        <v>166</v>
      </c>
      <c r="H167">
        <v>258</v>
      </c>
      <c r="I167">
        <v>2.5294117647058825E-2</v>
      </c>
      <c r="J167">
        <v>0.57745098039215681</v>
      </c>
    </row>
    <row r="168" spans="7:10" x14ac:dyDescent="0.2">
      <c r="G168">
        <v>167</v>
      </c>
      <c r="H168">
        <v>303</v>
      </c>
      <c r="I168">
        <v>2.9705882352941176E-2</v>
      </c>
      <c r="J168">
        <v>0.60715686274509795</v>
      </c>
    </row>
    <row r="169" spans="7:10" x14ac:dyDescent="0.2">
      <c r="G169">
        <v>168</v>
      </c>
      <c r="H169">
        <v>269</v>
      </c>
      <c r="I169">
        <v>2.6372549019607842E-2</v>
      </c>
      <c r="J169">
        <v>0.63352941176470579</v>
      </c>
    </row>
    <row r="170" spans="7:10" x14ac:dyDescent="0.2">
      <c r="G170">
        <v>169</v>
      </c>
      <c r="H170">
        <v>277</v>
      </c>
      <c r="I170">
        <v>2.7156862745098039E-2</v>
      </c>
      <c r="J170">
        <v>0.66068627450980377</v>
      </c>
    </row>
    <row r="171" spans="7:10" x14ac:dyDescent="0.2">
      <c r="G171">
        <v>170</v>
      </c>
      <c r="H171">
        <v>269</v>
      </c>
      <c r="I171">
        <v>2.6372549019607842E-2</v>
      </c>
      <c r="J171">
        <v>0.68705882352941161</v>
      </c>
    </row>
    <row r="172" spans="7:10" x14ac:dyDescent="0.2">
      <c r="G172">
        <v>171</v>
      </c>
      <c r="H172">
        <v>227</v>
      </c>
      <c r="I172">
        <v>2.2254901960784314E-2</v>
      </c>
      <c r="J172">
        <v>0.70931372549019589</v>
      </c>
    </row>
    <row r="173" spans="7:10" x14ac:dyDescent="0.2">
      <c r="G173">
        <v>172</v>
      </c>
      <c r="H173">
        <v>196</v>
      </c>
      <c r="I173">
        <v>1.9215686274509803E-2</v>
      </c>
      <c r="J173">
        <v>0.72852941176470565</v>
      </c>
    </row>
    <row r="174" spans="7:10" x14ac:dyDescent="0.2">
      <c r="G174">
        <v>173</v>
      </c>
      <c r="H174">
        <v>195</v>
      </c>
      <c r="I174">
        <v>1.9117647058823531E-2</v>
      </c>
      <c r="J174">
        <v>0.74764705882352922</v>
      </c>
    </row>
    <row r="175" spans="7:10" x14ac:dyDescent="0.2">
      <c r="G175">
        <v>174</v>
      </c>
      <c r="H175">
        <v>221</v>
      </c>
      <c r="I175">
        <v>2.1666666666666667E-2</v>
      </c>
      <c r="J175">
        <v>0.76931372549019583</v>
      </c>
    </row>
    <row r="176" spans="7:10" x14ac:dyDescent="0.2">
      <c r="G176">
        <v>175</v>
      </c>
      <c r="H176">
        <v>189</v>
      </c>
      <c r="I176">
        <v>1.8529411764705881E-2</v>
      </c>
      <c r="J176">
        <v>0.78784313725490174</v>
      </c>
    </row>
    <row r="177" spans="7:10" x14ac:dyDescent="0.2">
      <c r="G177">
        <v>176</v>
      </c>
      <c r="H177">
        <v>180</v>
      </c>
      <c r="I177">
        <v>1.7647058823529412E-2</v>
      </c>
      <c r="J177">
        <v>0.8054901960784312</v>
      </c>
    </row>
    <row r="178" spans="7:10" x14ac:dyDescent="0.2">
      <c r="G178">
        <v>177</v>
      </c>
      <c r="H178">
        <v>166</v>
      </c>
      <c r="I178">
        <v>1.6274509803921568E-2</v>
      </c>
      <c r="J178">
        <v>0.82176470588235273</v>
      </c>
    </row>
    <row r="179" spans="7:10" x14ac:dyDescent="0.2">
      <c r="G179">
        <v>178</v>
      </c>
      <c r="H179">
        <v>133</v>
      </c>
      <c r="I179">
        <v>1.3039215686274509E-2</v>
      </c>
      <c r="J179">
        <v>0.83480392156862726</v>
      </c>
    </row>
    <row r="180" spans="7:10" x14ac:dyDescent="0.2">
      <c r="G180">
        <v>179</v>
      </c>
      <c r="H180">
        <v>146</v>
      </c>
      <c r="I180">
        <v>1.4313725490196079E-2</v>
      </c>
      <c r="J180">
        <v>0.84911764705882331</v>
      </c>
    </row>
    <row r="181" spans="7:10" x14ac:dyDescent="0.2">
      <c r="G181">
        <v>180</v>
      </c>
      <c r="H181">
        <v>317</v>
      </c>
      <c r="I181">
        <v>3.107843137254902E-2</v>
      </c>
      <c r="J181">
        <v>0.88019607843137238</v>
      </c>
    </row>
    <row r="182" spans="7:10" x14ac:dyDescent="0.2">
      <c r="G182">
        <v>181</v>
      </c>
      <c r="H182">
        <v>271</v>
      </c>
      <c r="I182">
        <v>2.6568627450980393E-2</v>
      </c>
      <c r="J182">
        <v>0.90676470588235281</v>
      </c>
    </row>
    <row r="183" spans="7:10" x14ac:dyDescent="0.2">
      <c r="G183">
        <v>182</v>
      </c>
      <c r="H183">
        <v>193</v>
      </c>
      <c r="I183">
        <v>1.892156862745098E-2</v>
      </c>
      <c r="J183">
        <v>0.92568627450980379</v>
      </c>
    </row>
    <row r="184" spans="7:10" x14ac:dyDescent="0.2">
      <c r="G184">
        <v>183</v>
      </c>
      <c r="H184">
        <v>148</v>
      </c>
      <c r="I184">
        <v>1.4509803921568627E-2</v>
      </c>
      <c r="J184">
        <v>0.94019607843137243</v>
      </c>
    </row>
    <row r="185" spans="7:10" x14ac:dyDescent="0.2">
      <c r="G185">
        <v>184</v>
      </c>
      <c r="H185">
        <v>124</v>
      </c>
      <c r="I185">
        <v>1.215686274509804E-2</v>
      </c>
      <c r="J185">
        <v>0.95235294117647051</v>
      </c>
    </row>
    <row r="186" spans="7:10" x14ac:dyDescent="0.2">
      <c r="G186">
        <v>185</v>
      </c>
      <c r="H186">
        <v>100</v>
      </c>
      <c r="I186">
        <v>9.8039215686274508E-3</v>
      </c>
      <c r="J186">
        <v>0.96215686274509793</v>
      </c>
    </row>
    <row r="187" spans="7:10" x14ac:dyDescent="0.2">
      <c r="G187">
        <v>186</v>
      </c>
      <c r="H187">
        <v>91</v>
      </c>
      <c r="I187">
        <v>8.9215686274509796E-3</v>
      </c>
      <c r="J187">
        <v>0.9710784313725489</v>
      </c>
    </row>
    <row r="188" spans="7:10" x14ac:dyDescent="0.2">
      <c r="G188">
        <v>187</v>
      </c>
      <c r="H188">
        <v>61</v>
      </c>
      <c r="I188">
        <v>5.9803921568627452E-3</v>
      </c>
      <c r="J188">
        <v>0.97705882352941165</v>
      </c>
    </row>
    <row r="189" spans="7:10" x14ac:dyDescent="0.2">
      <c r="G189">
        <v>188</v>
      </c>
      <c r="H189">
        <v>49</v>
      </c>
      <c r="I189">
        <v>4.8039215686274507E-3</v>
      </c>
      <c r="J189">
        <v>0.98186274509803906</v>
      </c>
    </row>
    <row r="190" spans="7:10" x14ac:dyDescent="0.2">
      <c r="G190">
        <v>189</v>
      </c>
      <c r="H190">
        <v>27</v>
      </c>
      <c r="I190">
        <v>2.6470588235294116E-3</v>
      </c>
      <c r="J190">
        <v>0.9845098039215685</v>
      </c>
    </row>
    <row r="191" spans="7:10" x14ac:dyDescent="0.2">
      <c r="G191">
        <v>190</v>
      </c>
      <c r="H191">
        <v>39</v>
      </c>
      <c r="I191">
        <v>3.8235294117647061E-3</v>
      </c>
      <c r="J191">
        <v>0.98833333333333317</v>
      </c>
    </row>
    <row r="192" spans="7:10" x14ac:dyDescent="0.2">
      <c r="G192">
        <v>191</v>
      </c>
      <c r="H192">
        <v>29</v>
      </c>
      <c r="I192">
        <v>2.8431372549019606E-3</v>
      </c>
      <c r="J192">
        <v>0.9911764705882351</v>
      </c>
    </row>
    <row r="193" spans="7:10" x14ac:dyDescent="0.2">
      <c r="G193">
        <v>192</v>
      </c>
      <c r="H193">
        <v>19</v>
      </c>
      <c r="I193">
        <v>1.8627450980392157E-3</v>
      </c>
      <c r="J193">
        <v>0.99303921568627429</v>
      </c>
    </row>
    <row r="194" spans="7:10" x14ac:dyDescent="0.2">
      <c r="G194">
        <v>193</v>
      </c>
      <c r="H194">
        <v>16</v>
      </c>
      <c r="I194">
        <v>1.5686274509803921E-3</v>
      </c>
      <c r="J194">
        <v>0.9946078431372547</v>
      </c>
    </row>
    <row r="195" spans="7:10" x14ac:dyDescent="0.2">
      <c r="G195">
        <v>194</v>
      </c>
      <c r="H195">
        <v>17</v>
      </c>
      <c r="I195">
        <v>1.6666666666666668E-3</v>
      </c>
      <c r="J195">
        <v>0.9962745098039214</v>
      </c>
    </row>
    <row r="196" spans="7:10" x14ac:dyDescent="0.2">
      <c r="G196">
        <v>195</v>
      </c>
      <c r="H196">
        <v>8</v>
      </c>
      <c r="I196">
        <v>7.8431372549019605E-4</v>
      </c>
      <c r="J196">
        <v>0.99705882352941155</v>
      </c>
    </row>
    <row r="197" spans="7:10" x14ac:dyDescent="0.2">
      <c r="G197">
        <v>196</v>
      </c>
      <c r="H197">
        <v>8</v>
      </c>
      <c r="I197">
        <v>7.8431372549019605E-4</v>
      </c>
      <c r="J197">
        <v>0.9978431372549017</v>
      </c>
    </row>
    <row r="198" spans="7:10" x14ac:dyDescent="0.2">
      <c r="G198">
        <v>197</v>
      </c>
      <c r="H198">
        <v>4</v>
      </c>
      <c r="I198">
        <v>3.9215686274509802E-4</v>
      </c>
      <c r="J198">
        <v>0.99823529411764678</v>
      </c>
    </row>
    <row r="199" spans="7:10" x14ac:dyDescent="0.2">
      <c r="G199">
        <v>198</v>
      </c>
      <c r="H199">
        <v>1</v>
      </c>
      <c r="I199">
        <v>9.8039215686274506E-5</v>
      </c>
      <c r="J199">
        <v>0.99833333333333307</v>
      </c>
    </row>
    <row r="200" spans="7:10" x14ac:dyDescent="0.2">
      <c r="G200">
        <v>199</v>
      </c>
      <c r="H200">
        <v>3</v>
      </c>
      <c r="I200">
        <v>2.941176470588235E-4</v>
      </c>
      <c r="J200">
        <v>0.99862745098039185</v>
      </c>
    </row>
    <row r="201" spans="7:10" x14ac:dyDescent="0.2">
      <c r="G201">
        <v>200</v>
      </c>
      <c r="H201">
        <v>14</v>
      </c>
      <c r="I201">
        <v>1.3725490196078432E-3</v>
      </c>
      <c r="J201">
        <v>0.99999999999999967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tartTurntable">
                <anchor moveWithCells="1" sizeWithCells="1">
                  <from>
                    <xdr:col>3</xdr:col>
                    <xdr:colOff>476250</xdr:colOff>
                    <xdr:row>20</xdr:row>
                    <xdr:rowOff>0</xdr:rowOff>
                  </from>
                  <to>
                    <xdr:col>3</xdr:col>
                    <xdr:colOff>1885950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learTurntableData">
                <anchor moveWithCells="1" sizeWithCells="1">
                  <from>
                    <xdr:col>3</xdr:col>
                    <xdr:colOff>476250</xdr:colOff>
                    <xdr:row>23</xdr:row>
                    <xdr:rowOff>142875</xdr:rowOff>
                  </from>
                  <to>
                    <xdr:col>3</xdr:col>
                    <xdr:colOff>1885950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抽卡规则</vt:lpstr>
      <vt:lpstr>卡池召唤</vt:lpstr>
      <vt:lpstr>命运转轮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恺凯 徐</cp:lastModifiedBy>
  <dcterms:created xsi:type="dcterms:W3CDTF">2015-06-05T18:19:34Z</dcterms:created>
  <dcterms:modified xsi:type="dcterms:W3CDTF">2024-01-09T08:55:43Z</dcterms:modified>
</cp:coreProperties>
</file>